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3.xml" ContentType="application/vnd.openxmlformats-officedocument.spreadsheetml.worksheet+xml"/>
  <Override PartName="/xl/pivotTables/pivotTable11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13.xml" ContentType="application/vnd.openxmlformats-officedocument.spreadsheetml.pivotTable+xml"/>
  <Override PartName="/xl/charts/colors7.xml" ContentType="application/vnd.ms-office.chartcolorstyle+xml"/>
  <Override PartName="/xl/charts/style3.xml" ContentType="application/vnd.ms-office.chartstyle+xml"/>
  <Override PartName="/xl/charts/style7.xml" ContentType="application/vnd.ms-office.chartstyle+xml"/>
  <Override PartName="/xl/charts/colors3.xml" ContentType="application/vnd.ms-office.chartcolor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chart5.xml" ContentType="application/vnd.openxmlformats-officedocument.drawingml.chart+xml"/>
  <Override PartName="/xl/pivotCache/pivotCacheRecords5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charts/chart2.xml" ContentType="application/vnd.openxmlformats-officedocument.drawingml.chart+xml"/>
  <Override PartName="/xl/pivotTables/pivotTable12.xml" ContentType="application/vnd.openxmlformats-officedocument.spreadsheetml.pivotTable+xml"/>
  <Override PartName="/docProps/app.xml" ContentType="application/vnd.openxmlformats-officedocument.extended-properties+xml"/>
  <Override PartName="/xl/charts/style2.xml" ContentType="application/vnd.ms-office.chartstyle+xml"/>
  <Override PartName="/xl/charts/style5.xml" ContentType="application/vnd.ms-office.chartstyle+xml"/>
  <Override PartName="/xl/styles.xml" ContentType="application/vnd.openxmlformats-officedocument.spreadsheetml.styles+xml"/>
  <Override PartName="/xl/charts/colors2.xml" ContentType="application/vnd.ms-office.chartcolorstyle+xml"/>
  <Override PartName="/xl/pivotCache/pivotCacheDefinition5.xml" ContentType="application/vnd.openxmlformats-officedocument.spreadsheetml.pivotCacheDefinition+xml"/>
  <Override PartName="/xl/charts/colors1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pivotCache/pivotCacheRecords1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docProps/core.xml" ContentType="application/vnd.openxmlformats-package.core-properties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7.xml" ContentType="application/vnd.openxmlformats-officedocument.drawingml.chart+xml"/>
  <Override PartName="/xl/pivotCache/pivotCacheDefinition1.xml" ContentType="application/vnd.openxmlformats-officedocument.spreadsheetml.pivotCacheDefinition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charts/style6.xml" ContentType="application/vnd.ms-office.chartstyle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pivotTables/pivotTable4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charts/style4.xml" ContentType="application/vnd.ms-office.chartstyle+xml"/>
  <Override PartName="/xl/pivotCache/pivotCacheRecords3.xml" ContentType="application/vnd.openxmlformats-officedocument.spreadsheetml.pivotCacheRecords+xml"/>
  <Override PartName="/xl/pivotTables/pivotTable6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worksheets/sheet1.xml" ContentType="application/vnd.openxmlformats-officedocument.spreadsheetml.worksheet+xml"/>
  <Override PartName="/xl/pivotTables/pivotTable10.xml" ContentType="application/vnd.openxmlformats-officedocument.spreadsheetml.pivotTable+xml"/>
  <Override PartName="/xl/theme/theme1.xml" ContentType="application/vnd.openxmlformats-officedocument.theme+xml"/>
  <Override PartName="/xl/pivotCache/pivotCacheDefinition4.xml" ContentType="application/vnd.openxmlformats-officedocument.spreadsheetml.pivotCacheDefinition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ashboard" sheetId="1" state="visible" r:id="rId7"/>
    <sheet name="Analysis" sheetId="2" state="visible" r:id="rId8"/>
    <sheet name="RAW_Data" sheetId="3" state="visible" r:id="rId9"/>
  </sheets>
  <calcPr/>
  <pivotCaches>
    <pivotCache cacheId="2" r:id="rId1"/>
    <pivotCache cacheId="3" r:id="rId2"/>
    <pivotCache cacheId="4" r:id="rId3"/>
    <pivotCache cacheId="0" r:id="rId4"/>
    <pivotCache cacheId="1" r:id="rId5"/>
  </pivotCaches>
  <extLst>
    <ext xmlns:x15="http://schemas.microsoft.com/office/spreadsheetml/2010/11/main" uri="{D0CA8CA8-9F24-4464-BF8E-62219DCF47F9}"/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<sst xmlns="http://schemas.openxmlformats.org/spreadsheetml/2006/main" count="1324" uniqueCount="1324">
  <si>
    <t>REVENUE</t>
  </si>
  <si>
    <t>:</t>
  </si>
  <si>
    <t xml:space="preserve">BEST MANAGER</t>
  </si>
  <si>
    <t xml:space="preserve">BEST PRODUCT</t>
  </si>
  <si>
    <t xml:space="preserve">Total Income</t>
  </si>
  <si>
    <t xml:space="preserve">Total Transaction</t>
  </si>
  <si>
    <t xml:space="preserve">CHART DATA</t>
  </si>
  <si>
    <t>Manager</t>
  </si>
  <si>
    <t>Payment</t>
  </si>
  <si>
    <t xml:space="preserve">Product Performance</t>
  </si>
  <si>
    <t xml:space="preserve">Revenue per Day</t>
  </si>
  <si>
    <t xml:space="preserve">Revenue by City</t>
  </si>
  <si>
    <t xml:space="preserve">Row Labels</t>
  </si>
  <si>
    <t xml:space="preserve">Count of Order ID</t>
  </si>
  <si>
    <t xml:space="preserve">Drive-thru </t>
  </si>
  <si>
    <t xml:space="preserve">In-store </t>
  </si>
  <si>
    <t xml:space="preserve">Online </t>
  </si>
  <si>
    <t xml:space="preserve">Grand Total</t>
  </si>
  <si>
    <t xml:space="preserve">Sum of Revenue</t>
  </si>
  <si>
    <t xml:space="preserve">Q1 : Most Preferred Payment Method?</t>
  </si>
  <si>
    <t xml:space="preserve">Q5 : Average Revenue.</t>
  </si>
  <si>
    <t xml:space="preserve">Average of Revenue</t>
  </si>
  <si>
    <t xml:space="preserve"> Credit Card</t>
  </si>
  <si>
    <t xml:space="preserve"> Cash</t>
  </si>
  <si>
    <t xml:space="preserve"> Gift Card</t>
  </si>
  <si>
    <t xml:space="preserve">Insight : Average revenue of the restaurant is 3029.589997</t>
  </si>
  <si>
    <t xml:space="preserve">Q6 : Average Revenue of November &amp; December month.</t>
  </si>
  <si>
    <t xml:space="preserve">Insight: Credit Card is the most preferred payment method with the highest number of transactions.</t>
  </si>
  <si>
    <t xml:space="preserve">Q2 : Most Selling Product - By Quantity &amp; By Revenue?</t>
  </si>
  <si>
    <t xml:space="preserve">Sum of Quantity</t>
  </si>
  <si>
    <t>Beverages</t>
  </si>
  <si>
    <t>Burgers</t>
  </si>
  <si>
    <t>Fries</t>
  </si>
  <si>
    <t xml:space="preserve">Chicken Sandwiches</t>
  </si>
  <si>
    <t xml:space="preserve">Sides &amp; Other</t>
  </si>
  <si>
    <t xml:space="preserve">Insight : Beverages has the highest quantity sold, otherwise Burgers generates the highest product revenue.</t>
  </si>
  <si>
    <t xml:space="preserve">Q3 : Which city had maximum revenue , or , Which Manager earned maximum revenue?</t>
  </si>
  <si>
    <t xml:space="preserve">Max of Revenue</t>
  </si>
  <si>
    <t>Lisbon</t>
  </si>
  <si>
    <t xml:space="preserve">Joao Silva</t>
  </si>
  <si>
    <t>Berlin</t>
  </si>
  <si>
    <t xml:space="preserve">Walter Muller</t>
  </si>
  <si>
    <t>London</t>
  </si>
  <si>
    <t xml:space="preserve">Tom Jackson</t>
  </si>
  <si>
    <t>Madrid</t>
  </si>
  <si>
    <t xml:space="preserve">Pablo Perez</t>
  </si>
  <si>
    <t>Paris</t>
  </si>
  <si>
    <t xml:space="preserve">Remy Monet</t>
  </si>
  <si>
    <t xml:space="preserve">Insight : Lisbon and Joao Silva get the highest revenue</t>
  </si>
  <si>
    <t xml:space="preserve">Q4 : Date wise revenue.</t>
  </si>
  <si>
    <t xml:space="preserve">Insight : Average revenue on November is 2939.06 and December is 3102.13</t>
  </si>
  <si>
    <t xml:space="preserve">Q7 : Standard Deviation of Revenue and Quantity ?</t>
  </si>
  <si>
    <t xml:space="preserve">STD Revenue : </t>
  </si>
  <si>
    <t xml:space="preserve">STD Quantity :</t>
  </si>
  <si>
    <t xml:space="preserve">Insight : Standar Deviation of Revenue is 2415.34 and Quantity is 214.46</t>
  </si>
  <si>
    <t xml:space="preserve">Q8 : Variance of Revenue and Quantity ?</t>
  </si>
  <si>
    <t xml:space="preserve">Revenue : </t>
  </si>
  <si>
    <t xml:space="preserve">Quantity : </t>
  </si>
  <si>
    <t xml:space="preserve">Insight : Variance Population of Revenue is 5833914 and for Quantity is 45995</t>
  </si>
  <si>
    <t xml:space="preserve">Q9 : Is revenue increasing or decreasing over time?</t>
  </si>
  <si>
    <t xml:space="preserve">Based on line chart on Q4, Revenue fluctuates throughout the period but demonstrates a gradual upward trend, especially towards the end of December.</t>
  </si>
  <si>
    <t xml:space="preserve">Q10 : Average 'Quantity Sold' &amp; 'Average Revenue' for each product ?</t>
  </si>
  <si>
    <t>Values</t>
  </si>
  <si>
    <t xml:space="preserve">Average of Quantity</t>
  </si>
  <si>
    <t xml:space="preserve">Insight : Product with higher average Quantity  (Beverages) indicate frequent bulk purchase, while product with higher average Revenue (Burgers) mean have higher prices.</t>
  </si>
  <si>
    <t xml:space="preserve">Order ID</t>
  </si>
  <si>
    <t>Date</t>
  </si>
  <si>
    <t>Product</t>
  </si>
  <si>
    <t>Price</t>
  </si>
  <si>
    <t>Quantity</t>
  </si>
  <si>
    <t xml:space="preserve">Purchase Type</t>
  </si>
  <si>
    <t xml:space="preserve">Payment Method</t>
  </si>
  <si>
    <t>City</t>
  </si>
  <si>
    <t>Revenue</t>
  </si>
  <si>
    <t>Manager(Clean)</t>
  </si>
  <si>
    <t>Fries</t>
  </si>
  <si>
    <t xml:space="preserve">Online </t>
  </si>
  <si>
    <t xml:space="preserve"> Gift Card</t>
  </si>
  <si>
    <t xml:space="preserve">Tom      Jackson</t>
  </si>
  <si>
    <t>London</t>
  </si>
  <si>
    <t>Beverages</t>
  </si>
  <si>
    <t xml:space="preserve">Online </t>
  </si>
  <si>
    <t xml:space="preserve"> Gift Card</t>
  </si>
  <si>
    <t xml:space="preserve">       Pablo Perez</t>
  </si>
  <si>
    <t>Madrid</t>
  </si>
  <si>
    <t xml:space="preserve">Sides &amp; Other</t>
  </si>
  <si>
    <t xml:space="preserve">In-store </t>
  </si>
  <si>
    <t xml:space="preserve"> Gift Card</t>
  </si>
  <si>
    <t xml:space="preserve">Joao    Silva</t>
  </si>
  <si>
    <t>Lisbon</t>
  </si>
  <si>
    <t>Burgers</t>
  </si>
  <si>
    <t xml:space="preserve">In-store </t>
  </si>
  <si>
    <t xml:space="preserve"> Credit Card</t>
  </si>
  <si>
    <t xml:space="preserve">Walter Muller</t>
  </si>
  <si>
    <t>Berlin</t>
  </si>
  <si>
    <t xml:space="preserve">Chicken Sandwiches</t>
  </si>
  <si>
    <t xml:space="preserve">In-store </t>
  </si>
  <si>
    <t xml:space="preserve"> Credit Card</t>
  </si>
  <si>
    <t xml:space="preserve">Walter Muller</t>
  </si>
  <si>
    <t>Berlin</t>
  </si>
  <si>
    <t>Fries</t>
  </si>
  <si>
    <t xml:space="preserve">In-store </t>
  </si>
  <si>
    <t xml:space="preserve"> Credit Card</t>
  </si>
  <si>
    <t xml:space="preserve">Remy    Monet</t>
  </si>
  <si>
    <t>Paris</t>
  </si>
  <si>
    <t xml:space="preserve">Sides &amp; Other</t>
  </si>
  <si>
    <t xml:space="preserve">In-store </t>
  </si>
  <si>
    <t xml:space="preserve"> Credit Card</t>
  </si>
  <si>
    <t xml:space="preserve">Walter Muller</t>
  </si>
  <si>
    <t>Berlin</t>
  </si>
  <si>
    <t>Burgers</t>
  </si>
  <si>
    <t xml:space="preserve">In-store </t>
  </si>
  <si>
    <t xml:space="preserve"> Credit Card</t>
  </si>
  <si>
    <t xml:space="preserve">Remy Monet</t>
  </si>
  <si>
    <t>Paris</t>
  </si>
  <si>
    <t xml:space="preserve">Chicken Sandwiches</t>
  </si>
  <si>
    <t xml:space="preserve">In-store </t>
  </si>
  <si>
    <t xml:space="preserve"> Credit Card</t>
  </si>
  <si>
    <t xml:space="preserve">Remy Monet</t>
  </si>
  <si>
    <t>Paris</t>
  </si>
  <si>
    <t>Fries</t>
  </si>
  <si>
    <t xml:space="preserve">In-store </t>
  </si>
  <si>
    <t xml:space="preserve"> Credit Card</t>
  </si>
  <si>
    <t xml:space="preserve">       Remy Monet</t>
  </si>
  <si>
    <t>Paris</t>
  </si>
  <si>
    <t>Beverages</t>
  </si>
  <si>
    <t xml:space="preserve">In-store </t>
  </si>
  <si>
    <t xml:space="preserve"> Credit Card</t>
  </si>
  <si>
    <t xml:space="preserve">       Remy Monet</t>
  </si>
  <si>
    <t>Paris</t>
  </si>
  <si>
    <t xml:space="preserve">Sides &amp; Other</t>
  </si>
  <si>
    <t xml:space="preserve">In-store </t>
  </si>
  <si>
    <t xml:space="preserve"> Credit Card</t>
  </si>
  <si>
    <t xml:space="preserve">Remy     Monet</t>
  </si>
  <si>
    <t>Paris</t>
  </si>
  <si>
    <t>Burgers</t>
  </si>
  <si>
    <t xml:space="preserve">In-store </t>
  </si>
  <si>
    <t xml:space="preserve"> Credit Card</t>
  </si>
  <si>
    <t xml:space="preserve">Pablo Perez</t>
  </si>
  <si>
    <t>Madrid</t>
  </si>
  <si>
    <t xml:space="preserve">Chicken Sandwiches</t>
  </si>
  <si>
    <t xml:space="preserve">In-store </t>
  </si>
  <si>
    <t xml:space="preserve"> Credit Card</t>
  </si>
  <si>
    <t xml:space="preserve">Pablo Perez</t>
  </si>
  <si>
    <t>Madrid</t>
  </si>
  <si>
    <t>Fries</t>
  </si>
  <si>
    <t xml:space="preserve">In-store </t>
  </si>
  <si>
    <t xml:space="preserve"> Credit Card</t>
  </si>
  <si>
    <t xml:space="preserve">Pablo Perez</t>
  </si>
  <si>
    <t>Madrid</t>
  </si>
  <si>
    <t>Beverages</t>
  </si>
  <si>
    <t xml:space="preserve">In-store </t>
  </si>
  <si>
    <t xml:space="preserve"> Credit Card</t>
  </si>
  <si>
    <t xml:space="preserve">       Pablo Perez</t>
  </si>
  <si>
    <t>Madrid</t>
  </si>
  <si>
    <t>Burgers</t>
  </si>
  <si>
    <t xml:space="preserve">In-store </t>
  </si>
  <si>
    <t xml:space="preserve"> Credit Card</t>
  </si>
  <si>
    <t xml:space="preserve">       Pablo Perez</t>
  </si>
  <si>
    <t>Madrid</t>
  </si>
  <si>
    <t xml:space="preserve">Chicken Sandwiches</t>
  </si>
  <si>
    <t xml:space="preserve">In-store </t>
  </si>
  <si>
    <t xml:space="preserve"> Credit Card</t>
  </si>
  <si>
    <t xml:space="preserve">       Pablo Perez</t>
  </si>
  <si>
    <t>Madrid</t>
  </si>
  <si>
    <t>Fries</t>
  </si>
  <si>
    <t xml:space="preserve">In-store </t>
  </si>
  <si>
    <t xml:space="preserve"> Credit Card</t>
  </si>
  <si>
    <t xml:space="preserve">Pablo   Perez</t>
  </si>
  <si>
    <t>Madrid</t>
  </si>
  <si>
    <t>Beverages</t>
  </si>
  <si>
    <t xml:space="preserve">In-store </t>
  </si>
  <si>
    <t xml:space="preserve"> Credit Card</t>
  </si>
  <si>
    <t xml:space="preserve">       Pablo Perez</t>
  </si>
  <si>
    <t>Madrid</t>
  </si>
  <si>
    <t xml:space="preserve">Sides &amp; Other</t>
  </si>
  <si>
    <t xml:space="preserve">In-store </t>
  </si>
  <si>
    <t xml:space="preserve"> Credit Card</t>
  </si>
  <si>
    <t xml:space="preserve">       Pablo Perez</t>
  </si>
  <si>
    <t>Madrid</t>
  </si>
  <si>
    <t>Burgers</t>
  </si>
  <si>
    <t xml:space="preserve">In-store </t>
  </si>
  <si>
    <t xml:space="preserve"> Credit Card</t>
  </si>
  <si>
    <t xml:space="preserve">       Pablo Perez</t>
  </si>
  <si>
    <t>Madrid</t>
  </si>
  <si>
    <t xml:space="preserve">Chicken Sandwiches</t>
  </si>
  <si>
    <t xml:space="preserve">In-store </t>
  </si>
  <si>
    <t xml:space="preserve"> Credit Card</t>
  </si>
  <si>
    <t xml:space="preserve">Pablo Perez</t>
  </si>
  <si>
    <t>Madrid</t>
  </si>
  <si>
    <t>Fries</t>
  </si>
  <si>
    <t xml:space="preserve">In-store </t>
  </si>
  <si>
    <t xml:space="preserve"> Credit Card</t>
  </si>
  <si>
    <t xml:space="preserve">Pablo  Perez</t>
  </si>
  <si>
    <t>Madrid</t>
  </si>
  <si>
    <t>Beverages</t>
  </si>
  <si>
    <t xml:space="preserve">In-store </t>
  </si>
  <si>
    <t xml:space="preserve"> Credit Card</t>
  </si>
  <si>
    <t xml:space="preserve">Pablo Perez</t>
  </si>
  <si>
    <t>Madrid</t>
  </si>
  <si>
    <t xml:space="preserve">Sides &amp; Other</t>
  </si>
  <si>
    <t xml:space="preserve">In-store </t>
  </si>
  <si>
    <t xml:space="preserve"> Credit Card</t>
  </si>
  <si>
    <t xml:space="preserve">Pablo    Perez</t>
  </si>
  <si>
    <t>Madrid</t>
  </si>
  <si>
    <t>Burgers</t>
  </si>
  <si>
    <t xml:space="preserve">In-store </t>
  </si>
  <si>
    <t xml:space="preserve"> Credit Card</t>
  </si>
  <si>
    <t xml:space="preserve">Pablo Perez</t>
  </si>
  <si>
    <t>Madrid</t>
  </si>
  <si>
    <t xml:space="preserve">Chicken Sandwiches</t>
  </si>
  <si>
    <t xml:space="preserve">In-store </t>
  </si>
  <si>
    <t xml:space="preserve"> Credit Card</t>
  </si>
  <si>
    <t xml:space="preserve">Pablo Perez</t>
  </si>
  <si>
    <t>Madrid</t>
  </si>
  <si>
    <t>Fries</t>
  </si>
  <si>
    <t xml:space="preserve">In-store </t>
  </si>
  <si>
    <t xml:space="preserve"> Credit Card</t>
  </si>
  <si>
    <t xml:space="preserve">Joao Silva</t>
  </si>
  <si>
    <t>Lisbon</t>
  </si>
  <si>
    <t xml:space="preserve">Chicken Sandwiches</t>
  </si>
  <si>
    <t xml:space="preserve">In-store </t>
  </si>
  <si>
    <t xml:space="preserve"> Credit Card</t>
  </si>
  <si>
    <t xml:space="preserve">Joao    Silva</t>
  </si>
  <si>
    <t>Lisbon</t>
  </si>
  <si>
    <t>Fries</t>
  </si>
  <si>
    <t xml:space="preserve">In-store </t>
  </si>
  <si>
    <t xml:space="preserve"> Credit Card</t>
  </si>
  <si>
    <t xml:space="preserve">Joao Silva</t>
  </si>
  <si>
    <t>Lisbon</t>
  </si>
  <si>
    <t>Beverages</t>
  </si>
  <si>
    <t xml:space="preserve">In-store </t>
  </si>
  <si>
    <t xml:space="preserve"> Credit Card</t>
  </si>
  <si>
    <t xml:space="preserve">Joao Silva</t>
  </si>
  <si>
    <t>Lisbon</t>
  </si>
  <si>
    <t xml:space="preserve">Sides &amp; Other</t>
  </si>
  <si>
    <t xml:space="preserve">In-store </t>
  </si>
  <si>
    <t xml:space="preserve"> Credit Card</t>
  </si>
  <si>
    <t xml:space="preserve">Pablo Perez</t>
  </si>
  <si>
    <t>Madrid</t>
  </si>
  <si>
    <t>Burgers</t>
  </si>
  <si>
    <t xml:space="preserve">In-store </t>
  </si>
  <si>
    <t xml:space="preserve"> Credit Card</t>
  </si>
  <si>
    <t xml:space="preserve">Pablo Perez</t>
  </si>
  <si>
    <t>Madrid</t>
  </si>
  <si>
    <t xml:space="preserve">Chicken Sandwiches</t>
  </si>
  <si>
    <t xml:space="preserve">In-store </t>
  </si>
  <si>
    <t xml:space="preserve"> Credit Card</t>
  </si>
  <si>
    <t xml:space="preserve">Pablo Perez</t>
  </si>
  <si>
    <t>Madrid</t>
  </si>
  <si>
    <t>Fries</t>
  </si>
  <si>
    <t xml:space="preserve">In-store </t>
  </si>
  <si>
    <t xml:space="preserve"> Credit Card</t>
  </si>
  <si>
    <t xml:space="preserve">Pablo Perez</t>
  </si>
  <si>
    <t>Madrid</t>
  </si>
  <si>
    <t>Beverages</t>
  </si>
  <si>
    <t xml:space="preserve">In-store </t>
  </si>
  <si>
    <t xml:space="preserve"> Credit Card</t>
  </si>
  <si>
    <t xml:space="preserve">Pablo Perez</t>
  </si>
  <si>
    <t>Madrid</t>
  </si>
  <si>
    <t xml:space="preserve">Sides &amp; Other</t>
  </si>
  <si>
    <t xml:space="preserve">In-store </t>
  </si>
  <si>
    <t xml:space="preserve"> Credit Card</t>
  </si>
  <si>
    <t xml:space="preserve">Pablo Perez</t>
  </si>
  <si>
    <t>Madrid</t>
  </si>
  <si>
    <t>Burgers</t>
  </si>
  <si>
    <t xml:space="preserve">In-store </t>
  </si>
  <si>
    <t xml:space="preserve"> Credit Card</t>
  </si>
  <si>
    <t xml:space="preserve">Pablo Perez</t>
  </si>
  <si>
    <t>Madrid</t>
  </si>
  <si>
    <t xml:space="preserve">Chicken Sandwiches</t>
  </si>
  <si>
    <t xml:space="preserve">In-store </t>
  </si>
  <si>
    <t xml:space="preserve"> Credit Card</t>
  </si>
  <si>
    <t xml:space="preserve">Pablo Perez</t>
  </si>
  <si>
    <t>Madrid</t>
  </si>
  <si>
    <t>Fries</t>
  </si>
  <si>
    <t xml:space="preserve">In-store </t>
  </si>
  <si>
    <t xml:space="preserve"> Credit Card</t>
  </si>
  <si>
    <t xml:space="preserve">Pablo Perez</t>
  </si>
  <si>
    <t>Madrid</t>
  </si>
  <si>
    <t>Beverages</t>
  </si>
  <si>
    <t xml:space="preserve">Drive-thru </t>
  </si>
  <si>
    <t xml:space="preserve"> Credit Card</t>
  </si>
  <si>
    <t xml:space="preserve">Pablo Perez</t>
  </si>
  <si>
    <t>Madrid</t>
  </si>
  <si>
    <t xml:space="preserve">Sides &amp; Other</t>
  </si>
  <si>
    <t xml:space="preserve">Drive-thru </t>
  </si>
  <si>
    <t xml:space="preserve"> Credit Card</t>
  </si>
  <si>
    <t xml:space="preserve">Pablo Perez</t>
  </si>
  <si>
    <t>Madrid</t>
  </si>
  <si>
    <t>Burgers</t>
  </si>
  <si>
    <t xml:space="preserve">Drive-thru </t>
  </si>
  <si>
    <t xml:space="preserve"> Credit Card</t>
  </si>
  <si>
    <t xml:space="preserve">Pablo Perez</t>
  </si>
  <si>
    <t>Madrid</t>
  </si>
  <si>
    <t xml:space="preserve">Chicken Sandwiches</t>
  </si>
  <si>
    <t xml:space="preserve">Drive-thru </t>
  </si>
  <si>
    <t xml:space="preserve"> Credit Card</t>
  </si>
  <si>
    <t xml:space="preserve">Pablo Perez</t>
  </si>
  <si>
    <t>Madrid</t>
  </si>
  <si>
    <t>Fries</t>
  </si>
  <si>
    <t xml:space="preserve">Drive-thru </t>
  </si>
  <si>
    <t xml:space="preserve"> Credit Card</t>
  </si>
  <si>
    <t xml:space="preserve">Pablo Perez</t>
  </si>
  <si>
    <t>Madrid</t>
  </si>
  <si>
    <t>Beverages</t>
  </si>
  <si>
    <t xml:space="preserve">Drive-thru </t>
  </si>
  <si>
    <t xml:space="preserve"> Credit Card</t>
  </si>
  <si>
    <t xml:space="preserve">Pablo Perez</t>
  </si>
  <si>
    <t>Madrid</t>
  </si>
  <si>
    <t xml:space="preserve">Sides &amp; Other</t>
  </si>
  <si>
    <t xml:space="preserve">Drive-thru </t>
  </si>
  <si>
    <t xml:space="preserve"> Credit Card</t>
  </si>
  <si>
    <t xml:space="preserve">Pablo Perez</t>
  </si>
  <si>
    <t>Madrid</t>
  </si>
  <si>
    <t>Burgers</t>
  </si>
  <si>
    <t xml:space="preserve">Drive-thru </t>
  </si>
  <si>
    <t xml:space="preserve"> Credit Card</t>
  </si>
  <si>
    <t xml:space="preserve">Pablo Perez</t>
  </si>
  <si>
    <t>Madrid</t>
  </si>
  <si>
    <t xml:space="preserve">Chicken Sandwiches</t>
  </si>
  <si>
    <t xml:space="preserve">Drive-thru </t>
  </si>
  <si>
    <t xml:space="preserve"> Credit Card</t>
  </si>
  <si>
    <t xml:space="preserve">Pablo Perez</t>
  </si>
  <si>
    <t>Madrid</t>
  </si>
  <si>
    <t>Fries</t>
  </si>
  <si>
    <t xml:space="preserve">Drive-thru </t>
  </si>
  <si>
    <t xml:space="preserve"> Credit Card</t>
  </si>
  <si>
    <t xml:space="preserve">Pablo Perez</t>
  </si>
  <si>
    <t>Madrid</t>
  </si>
  <si>
    <t>Beverages</t>
  </si>
  <si>
    <t xml:space="preserve">Drive-thru </t>
  </si>
  <si>
    <t xml:space="preserve"> Credit Card</t>
  </si>
  <si>
    <t xml:space="preserve">Pablo Perez</t>
  </si>
  <si>
    <t>Madrid</t>
  </si>
  <si>
    <t xml:space="preserve">Sides &amp; Other</t>
  </si>
  <si>
    <t xml:space="preserve">Drive-thru </t>
  </si>
  <si>
    <t xml:space="preserve"> Credit Card</t>
  </si>
  <si>
    <t xml:space="preserve">Pablo Perez</t>
  </si>
  <si>
    <t>Madrid</t>
  </si>
  <si>
    <t>Burgers</t>
  </si>
  <si>
    <t xml:space="preserve">Drive-thru </t>
  </si>
  <si>
    <t xml:space="preserve"> Credit Card</t>
  </si>
  <si>
    <t xml:space="preserve">Pablo Perez</t>
  </si>
  <si>
    <t>Madrid</t>
  </si>
  <si>
    <t xml:space="preserve">Chicken Sandwiches</t>
  </si>
  <si>
    <t xml:space="preserve">Drive-thru </t>
  </si>
  <si>
    <t xml:space="preserve"> Credit Card</t>
  </si>
  <si>
    <t xml:space="preserve">Joao Silva</t>
  </si>
  <si>
    <t>Lisbon</t>
  </si>
  <si>
    <t>Fries</t>
  </si>
  <si>
    <t xml:space="preserve">Drive-thru </t>
  </si>
  <si>
    <t xml:space="preserve"> Credit Card</t>
  </si>
  <si>
    <t xml:space="preserve">Joao Silva</t>
  </si>
  <si>
    <t>Lisbon</t>
  </si>
  <si>
    <t>Beverages</t>
  </si>
  <si>
    <t xml:space="preserve">Drive-thru </t>
  </si>
  <si>
    <t xml:space="preserve"> Cash</t>
  </si>
  <si>
    <t xml:space="preserve">Joao Silva</t>
  </si>
  <si>
    <t>Lisbon</t>
  </si>
  <si>
    <t xml:space="preserve">Sides &amp; Other</t>
  </si>
  <si>
    <t xml:space="preserve">Drive-thru </t>
  </si>
  <si>
    <t xml:space="preserve"> Cash</t>
  </si>
  <si>
    <t xml:space="preserve">Joao Silva</t>
  </si>
  <si>
    <t>Lisbon</t>
  </si>
  <si>
    <t>Burgers</t>
  </si>
  <si>
    <t xml:space="preserve">Drive-thru </t>
  </si>
  <si>
    <t xml:space="preserve"> Cash</t>
  </si>
  <si>
    <t xml:space="preserve">Joao Silva</t>
  </si>
  <si>
    <t>Lisbon</t>
  </si>
  <si>
    <t xml:space="preserve">Chicken Sandwiches</t>
  </si>
  <si>
    <t xml:space="preserve">Drive-thru </t>
  </si>
  <si>
    <t xml:space="preserve"> Cash</t>
  </si>
  <si>
    <t xml:space="preserve">Joao Silva</t>
  </si>
  <si>
    <t>Lisbon</t>
  </si>
  <si>
    <t>Beverages</t>
  </si>
  <si>
    <t xml:space="preserve">In-store </t>
  </si>
  <si>
    <t xml:space="preserve"> Credit Card</t>
  </si>
  <si>
    <t xml:space="preserve">Joao    Silva</t>
  </si>
  <si>
    <t>Lisbon</t>
  </si>
  <si>
    <t xml:space="preserve">Sides &amp; Other</t>
  </si>
  <si>
    <t xml:space="preserve">In-store </t>
  </si>
  <si>
    <t xml:space="preserve"> Credit Card</t>
  </si>
  <si>
    <t xml:space="preserve">Joao    Silva</t>
  </si>
  <si>
    <t>Lisbon</t>
  </si>
  <si>
    <t>Burgers</t>
  </si>
  <si>
    <t xml:space="preserve">In-store </t>
  </si>
  <si>
    <t xml:space="preserve"> Credit Card</t>
  </si>
  <si>
    <t xml:space="preserve">Joao    Silva</t>
  </si>
  <si>
    <t>Lisbon</t>
  </si>
  <si>
    <t>Burgers</t>
  </si>
  <si>
    <t xml:space="preserve">Drive-thru </t>
  </si>
  <si>
    <t xml:space="preserve"> Cash</t>
  </si>
  <si>
    <t xml:space="preserve">Remy Monet</t>
  </si>
  <si>
    <t>Paris</t>
  </si>
  <si>
    <t xml:space="preserve">Chicken Sandwiches</t>
  </si>
  <si>
    <t xml:space="preserve">Drive-thru </t>
  </si>
  <si>
    <t xml:space="preserve"> Cash</t>
  </si>
  <si>
    <t xml:space="preserve">Remy Monet</t>
  </si>
  <si>
    <t>Paris</t>
  </si>
  <si>
    <t>Fries</t>
  </si>
  <si>
    <t xml:space="preserve">Drive-thru </t>
  </si>
  <si>
    <t xml:space="preserve"> Cash</t>
  </si>
  <si>
    <t xml:space="preserve">Remy Monet</t>
  </si>
  <si>
    <t>Paris</t>
  </si>
  <si>
    <t>Beverages</t>
  </si>
  <si>
    <t xml:space="preserve">Drive-thru </t>
  </si>
  <si>
    <t xml:space="preserve"> Cash</t>
  </si>
  <si>
    <t xml:space="preserve">Remy Monet</t>
  </si>
  <si>
    <t>Paris</t>
  </si>
  <si>
    <t xml:space="preserve">Sides &amp; Other</t>
  </si>
  <si>
    <t xml:space="preserve">Drive-thru </t>
  </si>
  <si>
    <t xml:space="preserve"> Cash</t>
  </si>
  <si>
    <t xml:space="preserve">Remy Monet</t>
  </si>
  <si>
    <t>Paris</t>
  </si>
  <si>
    <t>Burgers</t>
  </si>
  <si>
    <t xml:space="preserve">Drive-thru </t>
  </si>
  <si>
    <t xml:space="preserve"> Cash</t>
  </si>
  <si>
    <t xml:space="preserve">Remy Monet</t>
  </si>
  <si>
    <t>Paris</t>
  </si>
  <si>
    <t xml:space="preserve">Chicken Sandwiches</t>
  </si>
  <si>
    <t xml:space="preserve">Drive-thru </t>
  </si>
  <si>
    <t xml:space="preserve"> Cash</t>
  </si>
  <si>
    <t xml:space="preserve">Remy Monet</t>
  </si>
  <si>
    <t>Paris</t>
  </si>
  <si>
    <t>Fries</t>
  </si>
  <si>
    <t xml:space="preserve">Drive-thru </t>
  </si>
  <si>
    <t xml:space="preserve"> Cash</t>
  </si>
  <si>
    <t xml:space="preserve">Remy Monet</t>
  </si>
  <si>
    <t>Paris</t>
  </si>
  <si>
    <t>Beverages</t>
  </si>
  <si>
    <t xml:space="preserve">Drive-thru </t>
  </si>
  <si>
    <t xml:space="preserve"> Cash</t>
  </si>
  <si>
    <t xml:space="preserve">Remy Monet</t>
  </si>
  <si>
    <t>Paris</t>
  </si>
  <si>
    <t xml:space="preserve">Sides &amp; Other</t>
  </si>
  <si>
    <t xml:space="preserve">Drive-thru </t>
  </si>
  <si>
    <t xml:space="preserve"> Cash</t>
  </si>
  <si>
    <t xml:space="preserve">Remy Monet</t>
  </si>
  <si>
    <t>Paris</t>
  </si>
  <si>
    <t>Burgers</t>
  </si>
  <si>
    <t xml:space="preserve">Drive-thru </t>
  </si>
  <si>
    <t xml:space="preserve"> Cash</t>
  </si>
  <si>
    <t xml:space="preserve">Remy Monet</t>
  </si>
  <si>
    <t>Paris</t>
  </si>
  <si>
    <t xml:space="preserve">Chicken Sandwiches</t>
  </si>
  <si>
    <t xml:space="preserve">Drive-thru </t>
  </si>
  <si>
    <t xml:space="preserve"> Cash</t>
  </si>
  <si>
    <t xml:space="preserve">Remy Monet</t>
  </si>
  <si>
    <t>Paris</t>
  </si>
  <si>
    <t>Fries</t>
  </si>
  <si>
    <t xml:space="preserve">Drive-thru </t>
  </si>
  <si>
    <t xml:space="preserve"> Cash</t>
  </si>
  <si>
    <t xml:space="preserve">Joao Silva</t>
  </si>
  <si>
    <t>Lisbon</t>
  </si>
  <si>
    <t>Beverages</t>
  </si>
  <si>
    <t xml:space="preserve">Drive-thru </t>
  </si>
  <si>
    <t xml:space="preserve"> Cash</t>
  </si>
  <si>
    <t xml:space="preserve">Joao Silva</t>
  </si>
  <si>
    <t>Lisbon</t>
  </si>
  <si>
    <t xml:space="preserve">Sides &amp; Other</t>
  </si>
  <si>
    <t xml:space="preserve">Drive-thru </t>
  </si>
  <si>
    <t xml:space="preserve"> Cash</t>
  </si>
  <si>
    <t xml:space="preserve">Pablo Perez</t>
  </si>
  <si>
    <t>Madrid</t>
  </si>
  <si>
    <t>Burgers</t>
  </si>
  <si>
    <t xml:space="preserve">Drive-thru </t>
  </si>
  <si>
    <t xml:space="preserve"> Credit Card</t>
  </si>
  <si>
    <t xml:space="preserve">Pablo Perez</t>
  </si>
  <si>
    <t>Madrid</t>
  </si>
  <si>
    <t xml:space="preserve">Chicken Sandwiches</t>
  </si>
  <si>
    <t xml:space="preserve">Drive-thru </t>
  </si>
  <si>
    <t xml:space="preserve"> Credit Card</t>
  </si>
  <si>
    <t xml:space="preserve">Pablo Perez</t>
  </si>
  <si>
    <t>Madrid</t>
  </si>
  <si>
    <t>Burgers</t>
  </si>
  <si>
    <t xml:space="preserve">Drive-thru </t>
  </si>
  <si>
    <t xml:space="preserve"> Credit Card</t>
  </si>
  <si>
    <t xml:space="preserve">Pablo Perez</t>
  </si>
  <si>
    <t>Madrid</t>
  </si>
  <si>
    <t xml:space="preserve">Chicken Sandwiches</t>
  </si>
  <si>
    <t xml:space="preserve">Drive-thru </t>
  </si>
  <si>
    <t xml:space="preserve"> Credit Card</t>
  </si>
  <si>
    <t xml:space="preserve">Tom Jackson</t>
  </si>
  <si>
    <t>London</t>
  </si>
  <si>
    <t>Fries</t>
  </si>
  <si>
    <t xml:space="preserve">Drive-thru </t>
  </si>
  <si>
    <t xml:space="preserve"> Credit Card</t>
  </si>
  <si>
    <t xml:space="preserve">Tom Jackson</t>
  </si>
  <si>
    <t>London</t>
  </si>
  <si>
    <t>Beverages</t>
  </si>
  <si>
    <t xml:space="preserve">Drive-thru </t>
  </si>
  <si>
    <t xml:space="preserve"> Credit Card</t>
  </si>
  <si>
    <t xml:space="preserve">Tom Jackson</t>
  </si>
  <si>
    <t>London</t>
  </si>
  <si>
    <t xml:space="preserve">Sides &amp; Other</t>
  </si>
  <si>
    <t xml:space="preserve">Drive-thru </t>
  </si>
  <si>
    <t xml:space="preserve"> Credit Card</t>
  </si>
  <si>
    <t xml:space="preserve">Tom Jackson</t>
  </si>
  <si>
    <t>London</t>
  </si>
  <si>
    <t>Burgers</t>
  </si>
  <si>
    <t xml:space="preserve">Drive-thru </t>
  </si>
  <si>
    <t xml:space="preserve"> Credit Card</t>
  </si>
  <si>
    <t xml:space="preserve">Tom Jackson</t>
  </si>
  <si>
    <t>London</t>
  </si>
  <si>
    <t xml:space="preserve">Chicken Sandwiches</t>
  </si>
  <si>
    <t xml:space="preserve">Drive-thru </t>
  </si>
  <si>
    <t xml:space="preserve"> Credit Card</t>
  </si>
  <si>
    <t xml:space="preserve">Tom Jackson</t>
  </si>
  <si>
    <t>London</t>
  </si>
  <si>
    <t>Fries</t>
  </si>
  <si>
    <t xml:space="preserve">Drive-thru </t>
  </si>
  <si>
    <t xml:space="preserve"> Credit Card</t>
  </si>
  <si>
    <t xml:space="preserve">Tom Jackson</t>
  </si>
  <si>
    <t>London</t>
  </si>
  <si>
    <t>Beverages</t>
  </si>
  <si>
    <t xml:space="preserve">Drive-thru </t>
  </si>
  <si>
    <t xml:space="preserve"> Credit Card</t>
  </si>
  <si>
    <t xml:space="preserve">Tom Jackson</t>
  </si>
  <si>
    <t>London</t>
  </si>
  <si>
    <t xml:space="preserve">Sides &amp; Other</t>
  </si>
  <si>
    <t xml:space="preserve">Drive-thru </t>
  </si>
  <si>
    <t xml:space="preserve"> Credit Card</t>
  </si>
  <si>
    <t xml:space="preserve">Tom Jackson</t>
  </si>
  <si>
    <t>London</t>
  </si>
  <si>
    <t>Burgers</t>
  </si>
  <si>
    <t xml:space="preserve">Drive-thru </t>
  </si>
  <si>
    <t xml:space="preserve"> Credit Card</t>
  </si>
  <si>
    <t xml:space="preserve">Tom Jackson</t>
  </si>
  <si>
    <t>London</t>
  </si>
  <si>
    <t xml:space="preserve">Chicken Sandwiches</t>
  </si>
  <si>
    <t xml:space="preserve">Drive-thru </t>
  </si>
  <si>
    <t xml:space="preserve"> Credit Card</t>
  </si>
  <si>
    <t xml:space="preserve">Tom Jackson</t>
  </si>
  <si>
    <t>London</t>
  </si>
  <si>
    <t>Fries</t>
  </si>
  <si>
    <t xml:space="preserve">Online </t>
  </si>
  <si>
    <t xml:space="preserve"> Credit Card</t>
  </si>
  <si>
    <t xml:space="preserve">Tom Jackson</t>
  </si>
  <si>
    <t>London</t>
  </si>
  <si>
    <t>Beverages</t>
  </si>
  <si>
    <t xml:space="preserve">Online </t>
  </si>
  <si>
    <t xml:space="preserve"> Credit Card</t>
  </si>
  <si>
    <t xml:space="preserve">Tom Jackson</t>
  </si>
  <si>
    <t>London</t>
  </si>
  <si>
    <t xml:space="preserve">Sides &amp; Other</t>
  </si>
  <si>
    <t xml:space="preserve">Online </t>
  </si>
  <si>
    <t xml:space="preserve"> Credit Card</t>
  </si>
  <si>
    <t xml:space="preserve">Tom Jackson</t>
  </si>
  <si>
    <t>London</t>
  </si>
  <si>
    <t>Burgers</t>
  </si>
  <si>
    <t xml:space="preserve">Online </t>
  </si>
  <si>
    <t xml:space="preserve"> Credit Card</t>
  </si>
  <si>
    <t xml:space="preserve">Tom Jackson</t>
  </si>
  <si>
    <t>London</t>
  </si>
  <si>
    <t xml:space="preserve">Chicken Sandwiches</t>
  </si>
  <si>
    <t xml:space="preserve">Online </t>
  </si>
  <si>
    <t xml:space="preserve"> Credit Card</t>
  </si>
  <si>
    <t xml:space="preserve">Tom Jackson</t>
  </si>
  <si>
    <t>London</t>
  </si>
  <si>
    <t>Fries</t>
  </si>
  <si>
    <t xml:space="preserve">Online </t>
  </si>
  <si>
    <t xml:space="preserve"> Credit Card</t>
  </si>
  <si>
    <t xml:space="preserve">Tom Jackson</t>
  </si>
  <si>
    <t>London</t>
  </si>
  <si>
    <t>Beverages</t>
  </si>
  <si>
    <t xml:space="preserve">Online </t>
  </si>
  <si>
    <t xml:space="preserve"> Credit Card</t>
  </si>
  <si>
    <t xml:space="preserve">Tom Jackson</t>
  </si>
  <si>
    <t>London</t>
  </si>
  <si>
    <t xml:space="preserve">Sides &amp; Other</t>
  </si>
  <si>
    <t xml:space="preserve">Online </t>
  </si>
  <si>
    <t xml:space="preserve"> Credit Card</t>
  </si>
  <si>
    <t xml:space="preserve">Tom Jackson</t>
  </si>
  <si>
    <t>London</t>
  </si>
  <si>
    <t>Burgers</t>
  </si>
  <si>
    <t xml:space="preserve">Online </t>
  </si>
  <si>
    <t xml:space="preserve"> Credit Card</t>
  </si>
  <si>
    <t xml:space="preserve">Tom Jackson</t>
  </si>
  <si>
    <t>London</t>
  </si>
  <si>
    <t xml:space="preserve">Chicken Sandwiches</t>
  </si>
  <si>
    <t xml:space="preserve">Online </t>
  </si>
  <si>
    <t xml:space="preserve"> Credit Card</t>
  </si>
  <si>
    <t xml:space="preserve">Tom Jackson</t>
  </si>
  <si>
    <t>London</t>
  </si>
  <si>
    <t>Fries</t>
  </si>
  <si>
    <t xml:space="preserve">Online </t>
  </si>
  <si>
    <t xml:space="preserve"> Credit Card</t>
  </si>
  <si>
    <t xml:space="preserve">Tom Jackson</t>
  </si>
  <si>
    <t>London</t>
  </si>
  <si>
    <t>Beverages</t>
  </si>
  <si>
    <t xml:space="preserve">Online </t>
  </si>
  <si>
    <t xml:space="preserve"> Credit Card</t>
  </si>
  <si>
    <t xml:space="preserve">Tom Jackson</t>
  </si>
  <si>
    <t>London</t>
  </si>
  <si>
    <t xml:space="preserve">Sides &amp; Other</t>
  </si>
  <si>
    <t xml:space="preserve">Online </t>
  </si>
  <si>
    <t xml:space="preserve"> Credit Card</t>
  </si>
  <si>
    <t xml:space="preserve">Tom Jackson</t>
  </si>
  <si>
    <t>London</t>
  </si>
  <si>
    <t>Burgers</t>
  </si>
  <si>
    <t xml:space="preserve">Online </t>
  </si>
  <si>
    <t xml:space="preserve"> Credit Card</t>
  </si>
  <si>
    <t xml:space="preserve">Tom Jackson</t>
  </si>
  <si>
    <t>London</t>
  </si>
  <si>
    <t xml:space="preserve">Chicken Sandwiches</t>
  </si>
  <si>
    <t xml:space="preserve">Online </t>
  </si>
  <si>
    <t xml:space="preserve"> Credit Card</t>
  </si>
  <si>
    <t xml:space="preserve">Tom Jackson</t>
  </si>
  <si>
    <t>London</t>
  </si>
  <si>
    <t>Fries</t>
  </si>
  <si>
    <t xml:space="preserve">Online </t>
  </si>
  <si>
    <t xml:space="preserve"> Credit Card</t>
  </si>
  <si>
    <t xml:space="preserve">Tom Jackson</t>
  </si>
  <si>
    <t>London</t>
  </si>
  <si>
    <t>Beverages</t>
  </si>
  <si>
    <t xml:space="preserve">Online </t>
  </si>
  <si>
    <t xml:space="preserve"> Credit Card</t>
  </si>
  <si>
    <t xml:space="preserve">Tom Jackson</t>
  </si>
  <si>
    <t>London</t>
  </si>
  <si>
    <t xml:space="preserve">Sides &amp; Other</t>
  </si>
  <si>
    <t xml:space="preserve">Online </t>
  </si>
  <si>
    <t xml:space="preserve"> Credit Card</t>
  </si>
  <si>
    <t xml:space="preserve">Tom Jackson</t>
  </si>
  <si>
    <t>London</t>
  </si>
  <si>
    <t>Burgers</t>
  </si>
  <si>
    <t xml:space="preserve">Online </t>
  </si>
  <si>
    <t xml:space="preserve"> Credit Card</t>
  </si>
  <si>
    <t xml:space="preserve">Tom Jackson</t>
  </si>
  <si>
    <t>London</t>
  </si>
  <si>
    <t xml:space="preserve">Chicken Sandwiches</t>
  </si>
  <si>
    <t xml:space="preserve">Online </t>
  </si>
  <si>
    <t xml:space="preserve"> Credit Card</t>
  </si>
  <si>
    <t xml:space="preserve">Tom Jackson</t>
  </si>
  <si>
    <t>London</t>
  </si>
  <si>
    <t>Fries</t>
  </si>
  <si>
    <t xml:space="preserve">Online </t>
  </si>
  <si>
    <t xml:space="preserve"> Credit Card</t>
  </si>
  <si>
    <t xml:space="preserve">Remy Monet</t>
  </si>
  <si>
    <t>Paris</t>
  </si>
  <si>
    <t>Beverages</t>
  </si>
  <si>
    <t xml:space="preserve">Online </t>
  </si>
  <si>
    <t xml:space="preserve"> Credit Card</t>
  </si>
  <si>
    <t xml:space="preserve">Remy Monet</t>
  </si>
  <si>
    <t>Paris</t>
  </si>
  <si>
    <t xml:space="preserve">Sides &amp; Other</t>
  </si>
  <si>
    <t xml:space="preserve">Online </t>
  </si>
  <si>
    <t xml:space="preserve"> Credit Card</t>
  </si>
  <si>
    <t xml:space="preserve">Remy Monet</t>
  </si>
  <si>
    <t>Paris</t>
  </si>
  <si>
    <t>Burgers</t>
  </si>
  <si>
    <t xml:space="preserve">Online </t>
  </si>
  <si>
    <t xml:space="preserve"> Credit Card</t>
  </si>
  <si>
    <t xml:space="preserve">Remy Monet</t>
  </si>
  <si>
    <t>Paris</t>
  </si>
  <si>
    <t xml:space="preserve">Chicken Sandwiches</t>
  </si>
  <si>
    <t xml:space="preserve">Online </t>
  </si>
  <si>
    <t xml:space="preserve"> Credit Card</t>
  </si>
  <si>
    <t xml:space="preserve">Remy Monet</t>
  </si>
  <si>
    <t>Paris</t>
  </si>
  <si>
    <t>Fries</t>
  </si>
  <si>
    <t xml:space="preserve">Online </t>
  </si>
  <si>
    <t xml:space="preserve"> Credit Card</t>
  </si>
  <si>
    <t xml:space="preserve">Remy Monet</t>
  </si>
  <si>
    <t>Paris</t>
  </si>
  <si>
    <t>Beverages</t>
  </si>
  <si>
    <t xml:space="preserve">Online </t>
  </si>
  <si>
    <t xml:space="preserve"> Credit Card</t>
  </si>
  <si>
    <t xml:space="preserve">Remy Monet</t>
  </si>
  <si>
    <t>Paris</t>
  </si>
  <si>
    <t xml:space="preserve">Sides &amp; Other</t>
  </si>
  <si>
    <t xml:space="preserve">Online </t>
  </si>
  <si>
    <t xml:space="preserve"> Credit Card</t>
  </si>
  <si>
    <t xml:space="preserve">Remy Monet</t>
  </si>
  <si>
    <t>Paris</t>
  </si>
  <si>
    <t>Burgers</t>
  </si>
  <si>
    <t xml:space="preserve">Online </t>
  </si>
  <si>
    <t xml:space="preserve"> Credit Card</t>
  </si>
  <si>
    <t xml:space="preserve">Remy Monet</t>
  </si>
  <si>
    <t>Paris</t>
  </si>
  <si>
    <t xml:space="preserve">Chicken Sandwiches</t>
  </si>
  <si>
    <t xml:space="preserve">Online </t>
  </si>
  <si>
    <t xml:space="preserve"> Credit Card</t>
  </si>
  <si>
    <t>Fries</t>
  </si>
  <si>
    <t xml:space="preserve">Online </t>
  </si>
  <si>
    <t xml:space="preserve"> Credit Card</t>
  </si>
  <si>
    <t xml:space="preserve">Tom Jackson</t>
  </si>
  <si>
    <t>London</t>
  </si>
  <si>
    <t>Beverages</t>
  </si>
  <si>
    <t xml:space="preserve">Online </t>
  </si>
  <si>
    <t xml:space="preserve"> Credit Card</t>
  </si>
  <si>
    <t xml:space="preserve">Tom Jackson</t>
  </si>
  <si>
    <t>London</t>
  </si>
  <si>
    <t xml:space="preserve">Sides &amp; Other</t>
  </si>
  <si>
    <t xml:space="preserve">Online </t>
  </si>
  <si>
    <t xml:space="preserve"> Credit Card</t>
  </si>
  <si>
    <t xml:space="preserve">Tom Jackson</t>
  </si>
  <si>
    <t>London</t>
  </si>
  <si>
    <t>Burgers</t>
  </si>
  <si>
    <t xml:space="preserve">Online </t>
  </si>
  <si>
    <t xml:space="preserve"> Credit Card</t>
  </si>
  <si>
    <t xml:space="preserve">Tom Jackson</t>
  </si>
  <si>
    <t>London</t>
  </si>
  <si>
    <t xml:space="preserve">Chicken Sandwiches</t>
  </si>
  <si>
    <t xml:space="preserve">Online </t>
  </si>
  <si>
    <t xml:space="preserve"> Credit Card</t>
  </si>
  <si>
    <t xml:space="preserve">Tom Jackson</t>
  </si>
  <si>
    <t>London</t>
  </si>
  <si>
    <t>Fries</t>
  </si>
  <si>
    <t xml:space="preserve">Drive-thru </t>
  </si>
  <si>
    <t xml:space="preserve"> Credit Card</t>
  </si>
  <si>
    <t xml:space="preserve">Pablo Perez</t>
  </si>
  <si>
    <t>Madrid</t>
  </si>
  <si>
    <t>Beverages</t>
  </si>
  <si>
    <t xml:space="preserve">Drive-thru </t>
  </si>
  <si>
    <t xml:space="preserve"> Credit Card</t>
  </si>
  <si>
    <t xml:space="preserve">Pablo Perez</t>
  </si>
  <si>
    <t>Madrid</t>
  </si>
  <si>
    <t xml:space="preserve">Sides &amp; Other</t>
  </si>
  <si>
    <t xml:space="preserve">Drive-thru </t>
  </si>
  <si>
    <t xml:space="preserve"> Credit Card</t>
  </si>
  <si>
    <t>Burgers</t>
  </si>
  <si>
    <t xml:space="preserve">Online </t>
  </si>
  <si>
    <t xml:space="preserve"> Credit Card</t>
  </si>
  <si>
    <t xml:space="preserve">Tom Jackson</t>
  </si>
  <si>
    <t>London</t>
  </si>
  <si>
    <t xml:space="preserve">Chicken Sandwiches</t>
  </si>
  <si>
    <t xml:space="preserve">Online </t>
  </si>
  <si>
    <t xml:space="preserve"> Credit Card</t>
  </si>
  <si>
    <t xml:space="preserve">Tom Jackson</t>
  </si>
  <si>
    <t>London</t>
  </si>
  <si>
    <t>Fries</t>
  </si>
  <si>
    <t xml:space="preserve">Online </t>
  </si>
  <si>
    <t xml:space="preserve"> Credit Card</t>
  </si>
  <si>
    <t xml:space="preserve">Tom Jackson</t>
  </si>
  <si>
    <t>London</t>
  </si>
  <si>
    <t>Beverages</t>
  </si>
  <si>
    <t xml:space="preserve">Online </t>
  </si>
  <si>
    <t xml:space="preserve"> Credit Card</t>
  </si>
  <si>
    <t xml:space="preserve">Tom Jackson</t>
  </si>
  <si>
    <t>London</t>
  </si>
  <si>
    <t xml:space="preserve">Sides &amp; Other</t>
  </si>
  <si>
    <t xml:space="preserve">Online </t>
  </si>
  <si>
    <t xml:space="preserve"> Credit Card</t>
  </si>
  <si>
    <t xml:space="preserve">Tom Jackson</t>
  </si>
  <si>
    <t>London</t>
  </si>
  <si>
    <t>Burgers</t>
  </si>
  <si>
    <t xml:space="preserve">Online </t>
  </si>
  <si>
    <t xml:space="preserve"> Credit Card</t>
  </si>
  <si>
    <t xml:space="preserve">Tom Jackson</t>
  </si>
  <si>
    <t>London</t>
  </si>
  <si>
    <t xml:space="preserve">Chicken Sandwiches</t>
  </si>
  <si>
    <t xml:space="preserve">Online </t>
  </si>
  <si>
    <t xml:space="preserve"> Credit Card</t>
  </si>
  <si>
    <t xml:space="preserve">Tom Jackson</t>
  </si>
  <si>
    <t>London</t>
  </si>
  <si>
    <t>Fries</t>
  </si>
  <si>
    <t xml:space="preserve">Online </t>
  </si>
  <si>
    <t xml:space="preserve"> Credit Card</t>
  </si>
  <si>
    <t xml:space="preserve">Tom Jackson</t>
  </si>
  <si>
    <t>London</t>
  </si>
  <si>
    <t>Beverages</t>
  </si>
  <si>
    <t xml:space="preserve">Online </t>
  </si>
  <si>
    <t xml:space="preserve"> Credit Card</t>
  </si>
  <si>
    <t xml:space="preserve">Tom Jackson</t>
  </si>
  <si>
    <t>London</t>
  </si>
  <si>
    <t xml:space="preserve">Sides &amp; Other</t>
  </si>
  <si>
    <t xml:space="preserve">Online </t>
  </si>
  <si>
    <t xml:space="preserve"> Credit Card</t>
  </si>
  <si>
    <t xml:space="preserve">Tom Jackson</t>
  </si>
  <si>
    <t>London</t>
  </si>
  <si>
    <t>Burgers</t>
  </si>
  <si>
    <t xml:space="preserve">Online </t>
  </si>
  <si>
    <t xml:space="preserve"> Credit Card</t>
  </si>
  <si>
    <t xml:space="preserve">Tom Jackson</t>
  </si>
  <si>
    <t>London</t>
  </si>
  <si>
    <t xml:space="preserve">Chicken Sandwiches</t>
  </si>
  <si>
    <t xml:space="preserve">Online </t>
  </si>
  <si>
    <t xml:space="preserve">Tom Jackson</t>
  </si>
  <si>
    <t>London</t>
  </si>
  <si>
    <t>Fries</t>
  </si>
  <si>
    <t xml:space="preserve">Online </t>
  </si>
  <si>
    <t xml:space="preserve"> Cash</t>
  </si>
  <si>
    <t xml:space="preserve">Tom Jackson</t>
  </si>
  <si>
    <t>London</t>
  </si>
  <si>
    <t>Beverages</t>
  </si>
  <si>
    <t xml:space="preserve">Online </t>
  </si>
  <si>
    <t xml:space="preserve"> Cash</t>
  </si>
  <si>
    <t xml:space="preserve">Tom Jackson</t>
  </si>
  <si>
    <t>London</t>
  </si>
  <si>
    <t xml:space="preserve">Sides &amp; Other</t>
  </si>
  <si>
    <t xml:space="preserve">Online </t>
  </si>
  <si>
    <t xml:space="preserve"> Cash</t>
  </si>
  <si>
    <t xml:space="preserve">Tom Jackson</t>
  </si>
  <si>
    <t>London</t>
  </si>
  <si>
    <t>Burgers</t>
  </si>
  <si>
    <t xml:space="preserve">Online </t>
  </si>
  <si>
    <t xml:space="preserve"> Cash</t>
  </si>
  <si>
    <t xml:space="preserve">Tom Jackson</t>
  </si>
  <si>
    <t>London</t>
  </si>
  <si>
    <t xml:space="preserve">Chicken Sandwiches</t>
  </si>
  <si>
    <t xml:space="preserve">Online </t>
  </si>
  <si>
    <t xml:space="preserve"> Cash</t>
  </si>
  <si>
    <t xml:space="preserve">Tom Jackson</t>
  </si>
  <si>
    <t>London</t>
  </si>
  <si>
    <t>Fries</t>
  </si>
  <si>
    <t xml:space="preserve">Online </t>
  </si>
  <si>
    <t xml:space="preserve"> Cash</t>
  </si>
  <si>
    <t xml:space="preserve">Tom Jackson</t>
  </si>
  <si>
    <t>London</t>
  </si>
  <si>
    <t>Beverages</t>
  </si>
  <si>
    <t xml:space="preserve">Online </t>
  </si>
  <si>
    <t xml:space="preserve"> Gift Card</t>
  </si>
  <si>
    <t xml:space="preserve">Tom Jackson</t>
  </si>
  <si>
    <t>London</t>
  </si>
  <si>
    <t xml:space="preserve">Sides &amp; Other</t>
  </si>
  <si>
    <t xml:space="preserve">Online </t>
  </si>
  <si>
    <t xml:space="preserve"> Gift Card</t>
  </si>
  <si>
    <t xml:space="preserve">Tom Jackson</t>
  </si>
  <si>
    <t>London</t>
  </si>
  <si>
    <t>Burgers</t>
  </si>
  <si>
    <t xml:space="preserve">Online </t>
  </si>
  <si>
    <t xml:space="preserve"> Gift Card</t>
  </si>
  <si>
    <t xml:space="preserve">Tom Jackson</t>
  </si>
  <si>
    <t>London</t>
  </si>
  <si>
    <t xml:space="preserve">Chicken Sandwiches</t>
  </si>
  <si>
    <t xml:space="preserve">Online </t>
  </si>
  <si>
    <t xml:space="preserve"> Gift Card</t>
  </si>
  <si>
    <t xml:space="preserve">Tom Jackson</t>
  </si>
  <si>
    <t>London</t>
  </si>
  <si>
    <t>Fries</t>
  </si>
  <si>
    <t xml:space="preserve">Online </t>
  </si>
  <si>
    <t xml:space="preserve"> Gift Card</t>
  </si>
  <si>
    <t xml:space="preserve">Tom Jackson</t>
  </si>
  <si>
    <t>London</t>
  </si>
  <si>
    <t>Beverages</t>
  </si>
  <si>
    <t xml:space="preserve">Online </t>
  </si>
  <si>
    <t xml:space="preserve"> Gift Card</t>
  </si>
  <si>
    <t xml:space="preserve">Tom Jackson</t>
  </si>
  <si>
    <t>London</t>
  </si>
  <si>
    <t xml:space="preserve">Sides &amp; Other</t>
  </si>
  <si>
    <t xml:space="preserve">Online </t>
  </si>
  <si>
    <t xml:space="preserve"> Gift Card</t>
  </si>
  <si>
    <t xml:space="preserve">Tom Jackson</t>
  </si>
  <si>
    <t>London</t>
  </si>
  <si>
    <t>Burgers</t>
  </si>
  <si>
    <t xml:space="preserve">Online </t>
  </si>
  <si>
    <t xml:space="preserve"> Gift Card</t>
  </si>
  <si>
    <t xml:space="preserve">Tom Jackson</t>
  </si>
  <si>
    <t>London</t>
  </si>
  <si>
    <t xml:space="preserve">Chicken Sandwiches</t>
  </si>
  <si>
    <t xml:space="preserve">Online </t>
  </si>
  <si>
    <t xml:space="preserve"> Gift Card</t>
  </si>
  <si>
    <t xml:space="preserve">Tom Jackson</t>
  </si>
  <si>
    <t>London</t>
  </si>
  <si>
    <t>Fries</t>
  </si>
  <si>
    <t xml:space="preserve">Online </t>
  </si>
  <si>
    <t xml:space="preserve"> Gift Card</t>
  </si>
  <si>
    <t xml:space="preserve">Tom Jackson</t>
  </si>
  <si>
    <t>London</t>
  </si>
  <si>
    <t>Beverages</t>
  </si>
  <si>
    <t xml:space="preserve">Online </t>
  </si>
  <si>
    <t xml:space="preserve"> Gift Card</t>
  </si>
  <si>
    <t xml:space="preserve">Tom Jackson</t>
  </si>
  <si>
    <t>London</t>
  </si>
  <si>
    <t xml:space="preserve">Sides &amp; Other</t>
  </si>
  <si>
    <t xml:space="preserve">Online </t>
  </si>
  <si>
    <t xml:space="preserve"> Gift Card</t>
  </si>
  <si>
    <t xml:space="preserve">Tom Jackson</t>
  </si>
  <si>
    <t>London</t>
  </si>
  <si>
    <t>Burgers</t>
  </si>
  <si>
    <t xml:space="preserve">Online </t>
  </si>
  <si>
    <t xml:space="preserve"> Gift Card</t>
  </si>
  <si>
    <t xml:space="preserve">Tom Jackson</t>
  </si>
  <si>
    <t>London</t>
  </si>
  <si>
    <t xml:space="preserve">Chicken Sandwiches</t>
  </si>
  <si>
    <t xml:space="preserve">Online </t>
  </si>
  <si>
    <t xml:space="preserve"> Gift Card</t>
  </si>
  <si>
    <t xml:space="preserve">Tom Jackson</t>
  </si>
  <si>
    <t>London</t>
  </si>
  <si>
    <t>Fries</t>
  </si>
  <si>
    <t xml:space="preserve">Online </t>
  </si>
  <si>
    <t xml:space="preserve"> Gift Card</t>
  </si>
  <si>
    <t xml:space="preserve">Tom Jackson</t>
  </si>
  <si>
    <t>London</t>
  </si>
  <si>
    <t>Beverages</t>
  </si>
  <si>
    <t xml:space="preserve">Online </t>
  </si>
  <si>
    <t xml:space="preserve"> Gift Card</t>
  </si>
  <si>
    <t xml:space="preserve">Tom Jackson</t>
  </si>
  <si>
    <t>London</t>
  </si>
  <si>
    <t xml:space="preserve">Sides &amp; Other</t>
  </si>
  <si>
    <t xml:space="preserve">Online </t>
  </si>
  <si>
    <t xml:space="preserve"> Gift Card</t>
  </si>
  <si>
    <t xml:space="preserve">Tom Jackson</t>
  </si>
  <si>
    <t>London</t>
  </si>
  <si>
    <t>Burgers</t>
  </si>
  <si>
    <t xml:space="preserve">Online </t>
  </si>
  <si>
    <t xml:space="preserve"> Gift Card</t>
  </si>
  <si>
    <t xml:space="preserve">Tom Jackson</t>
  </si>
  <si>
    <t>London</t>
  </si>
  <si>
    <t xml:space="preserve">Chicken Sandwiches</t>
  </si>
  <si>
    <t xml:space="preserve">Online </t>
  </si>
  <si>
    <t xml:space="preserve"> Gift Card</t>
  </si>
  <si>
    <t xml:space="preserve">Tom Jackson</t>
  </si>
  <si>
    <t>London</t>
  </si>
  <si>
    <t>Fries</t>
  </si>
  <si>
    <t xml:space="preserve">Online </t>
  </si>
  <si>
    <t xml:space="preserve"> Gift Card</t>
  </si>
  <si>
    <t>Beverages</t>
  </si>
  <si>
    <t xml:space="preserve">Online </t>
  </si>
  <si>
    <t xml:space="preserve"> Gift Card</t>
  </si>
  <si>
    <t xml:space="preserve">Joao Silva</t>
  </si>
  <si>
    <t>Lisbon</t>
  </si>
  <si>
    <t xml:space="preserve">Sides &amp; Other</t>
  </si>
  <si>
    <t xml:space="preserve">Online </t>
  </si>
  <si>
    <t xml:space="preserve"> Gift Card</t>
  </si>
  <si>
    <t xml:space="preserve">Joao Silva</t>
  </si>
  <si>
    <t>Lisbon</t>
  </si>
  <si>
    <t>Burgers</t>
  </si>
  <si>
    <t xml:space="preserve">Online </t>
  </si>
  <si>
    <t xml:space="preserve"> Cash</t>
  </si>
  <si>
    <t xml:space="preserve">Joao Silva</t>
  </si>
  <si>
    <t>Lisbon</t>
  </si>
  <si>
    <t xml:space="preserve">Chicken Sandwiches</t>
  </si>
  <si>
    <t xml:space="preserve">Online </t>
  </si>
  <si>
    <t xml:space="preserve"> Gift Card</t>
  </si>
  <si>
    <t xml:space="preserve">Joao Silva</t>
  </si>
  <si>
    <t>Lisbon</t>
  </si>
  <si>
    <t>Fries</t>
  </si>
  <si>
    <t xml:space="preserve">Online </t>
  </si>
  <si>
    <t xml:space="preserve"> Gift Card</t>
  </si>
  <si>
    <t xml:space="preserve">Joao Silva</t>
  </si>
  <si>
    <t>Lisbon</t>
  </si>
  <si>
    <t>Beverages</t>
  </si>
  <si>
    <t xml:space="preserve">Online </t>
  </si>
  <si>
    <t xml:space="preserve"> Gift Card</t>
  </si>
  <si>
    <t xml:space="preserve">Joao Silva</t>
  </si>
  <si>
    <t>Lisbon</t>
  </si>
  <si>
    <t xml:space="preserve">Sides &amp; Other</t>
  </si>
  <si>
    <t xml:space="preserve">Online </t>
  </si>
  <si>
    <t xml:space="preserve"> Gift Card</t>
  </si>
  <si>
    <t xml:space="preserve">Joao Silva</t>
  </si>
  <si>
    <t>Lisbon</t>
  </si>
  <si>
    <t>Burgers</t>
  </si>
  <si>
    <t xml:space="preserve">Online </t>
  </si>
  <si>
    <t xml:space="preserve"> Gift Card</t>
  </si>
  <si>
    <t xml:space="preserve">Joao Silva</t>
  </si>
  <si>
    <t>Lisbon</t>
  </si>
  <si>
    <t xml:space="preserve">Chicken Sandwiches</t>
  </si>
  <si>
    <t xml:space="preserve">Online </t>
  </si>
  <si>
    <t xml:space="preserve"> Gift Card</t>
  </si>
  <si>
    <t xml:space="preserve">Joao Silva</t>
  </si>
  <si>
    <t>Lisbon</t>
  </si>
  <si>
    <t>Fries</t>
  </si>
  <si>
    <t xml:space="preserve">Online </t>
  </si>
  <si>
    <t xml:space="preserve"> Gift Card</t>
  </si>
  <si>
    <t xml:space="preserve">Joao Silva</t>
  </si>
  <si>
    <t>Lisbon</t>
  </si>
  <si>
    <t>Beverages</t>
  </si>
  <si>
    <t xml:space="preserve">Online </t>
  </si>
  <si>
    <t xml:space="preserve"> Gift Card</t>
  </si>
  <si>
    <t xml:space="preserve">Joao Silva</t>
  </si>
  <si>
    <t>Lisbon</t>
  </si>
  <si>
    <t xml:space="preserve">Sides &amp; Other</t>
  </si>
  <si>
    <t xml:space="preserve">Online </t>
  </si>
  <si>
    <t xml:space="preserve"> Gift Card</t>
  </si>
  <si>
    <t xml:space="preserve">Joao Silva</t>
  </si>
  <si>
    <t>Lisbon</t>
  </si>
  <si>
    <t>Burgers</t>
  </si>
  <si>
    <t xml:space="preserve">Online </t>
  </si>
  <si>
    <t xml:space="preserve"> Gift Card</t>
  </si>
  <si>
    <t xml:space="preserve">Joao Silva</t>
  </si>
  <si>
    <t>Lisbon</t>
  </si>
  <si>
    <t xml:space="preserve">Chicken Sandwiches</t>
  </si>
  <si>
    <t xml:space="preserve">Online </t>
  </si>
  <si>
    <t xml:space="preserve"> Gift Card</t>
  </si>
  <si>
    <t xml:space="preserve">Joao Silva</t>
  </si>
  <si>
    <t>Lisbon</t>
  </si>
  <si>
    <t>Fries</t>
  </si>
  <si>
    <t xml:space="preserve">Online </t>
  </si>
  <si>
    <t xml:space="preserve"> Cash</t>
  </si>
  <si>
    <t xml:space="preserve">Joao Silva</t>
  </si>
  <si>
    <t>Lisbon</t>
  </si>
  <si>
    <t>Beverages</t>
  </si>
  <si>
    <t xml:space="preserve">Online </t>
  </si>
  <si>
    <t xml:space="preserve"> Cash</t>
  </si>
  <si>
    <t xml:space="preserve">Joao Silva</t>
  </si>
  <si>
    <t>Lisbon</t>
  </si>
  <si>
    <t xml:space="preserve">Sides &amp; Other</t>
  </si>
  <si>
    <t xml:space="preserve">Online </t>
  </si>
  <si>
    <t xml:space="preserve"> Cash</t>
  </si>
  <si>
    <t xml:space="preserve">Joao Silva</t>
  </si>
  <si>
    <t>Lisbon</t>
  </si>
  <si>
    <t>Burgers</t>
  </si>
  <si>
    <t xml:space="preserve">Online </t>
  </si>
  <si>
    <t xml:space="preserve"> Cash</t>
  </si>
  <si>
    <t xml:space="preserve">Joao Silva</t>
  </si>
  <si>
    <t>Lisbon</t>
  </si>
  <si>
    <t xml:space="preserve">Chicken Sandwiches</t>
  </si>
  <si>
    <t xml:space="preserve">Online </t>
  </si>
  <si>
    <t xml:space="preserve"> Cash</t>
  </si>
  <si>
    <t xml:space="preserve">Joao Silva</t>
  </si>
  <si>
    <t>Lisbon</t>
  </si>
  <si>
    <t>Fries</t>
  </si>
  <si>
    <t xml:space="preserve">Online </t>
  </si>
  <si>
    <t xml:space="preserve"> Gift Card</t>
  </si>
  <si>
    <t xml:space="preserve">Joao Silva</t>
  </si>
  <si>
    <t>Lisbon</t>
  </si>
  <si>
    <t>Beverages</t>
  </si>
  <si>
    <t xml:space="preserve">Online </t>
  </si>
  <si>
    <t xml:space="preserve"> Gift Card</t>
  </si>
  <si>
    <t xml:space="preserve">Joao Silva</t>
  </si>
  <si>
    <t>Lisbon</t>
  </si>
  <si>
    <t xml:space="preserve">Sides &amp; Other</t>
  </si>
  <si>
    <t xml:space="preserve">Online </t>
  </si>
  <si>
    <t xml:space="preserve"> Gift Card</t>
  </si>
  <si>
    <t xml:space="preserve">Joao Silva</t>
  </si>
  <si>
    <t>Lisbon</t>
  </si>
  <si>
    <t>Burgers</t>
  </si>
  <si>
    <t xml:space="preserve">Online </t>
  </si>
  <si>
    <t xml:space="preserve"> Gift Card</t>
  </si>
  <si>
    <t xml:space="preserve">Joao Silva</t>
  </si>
  <si>
    <t>Lisbon</t>
  </si>
  <si>
    <t xml:space="preserve">Chicken Sandwiches</t>
  </si>
  <si>
    <t xml:space="preserve">Online </t>
  </si>
  <si>
    <t xml:space="preserve"> Gift Card</t>
  </si>
  <si>
    <t xml:space="preserve">Joao Silva</t>
  </si>
  <si>
    <t>Lisbon</t>
  </si>
  <si>
    <t>Fries</t>
  </si>
  <si>
    <t xml:space="preserve">Online </t>
  </si>
  <si>
    <t xml:space="preserve"> Gift Card</t>
  </si>
  <si>
    <t xml:space="preserve">Joao Silva</t>
  </si>
  <si>
    <t>Lisbon</t>
  </si>
  <si>
    <t>Beverages</t>
  </si>
  <si>
    <t xml:space="preserve">Online </t>
  </si>
  <si>
    <t xml:space="preserve"> Gift Card</t>
  </si>
  <si>
    <t xml:space="preserve">Joao Silva</t>
  </si>
  <si>
    <t>Lisbon</t>
  </si>
  <si>
    <t xml:space="preserve">Sides &amp; Other</t>
  </si>
  <si>
    <t xml:space="preserve">Online </t>
  </si>
  <si>
    <t xml:space="preserve"> Gift Card</t>
  </si>
  <si>
    <t xml:space="preserve">Joao Silva</t>
  </si>
  <si>
    <t>Lisbon</t>
  </si>
  <si>
    <t>Burgers</t>
  </si>
  <si>
    <t xml:space="preserve">Online </t>
  </si>
  <si>
    <t xml:space="preserve"> Gift Card</t>
  </si>
  <si>
    <t xml:space="preserve">Joao Silva</t>
  </si>
  <si>
    <t>Lisbon</t>
  </si>
  <si>
    <t xml:space="preserve">Chicken Sandwiches</t>
  </si>
  <si>
    <t xml:space="preserve">Online </t>
  </si>
  <si>
    <t xml:space="preserve"> Gift Card</t>
  </si>
  <si>
    <t xml:space="preserve">Joao Silva</t>
  </si>
  <si>
    <t>Lisbon</t>
  </si>
  <si>
    <t>Fries</t>
  </si>
  <si>
    <t xml:space="preserve">Online </t>
  </si>
  <si>
    <t xml:space="preserve"> Gift Card</t>
  </si>
  <si>
    <t xml:space="preserve">Joao Silva</t>
  </si>
  <si>
    <t>Lisbon</t>
  </si>
  <si>
    <t>Beverages</t>
  </si>
  <si>
    <t xml:space="preserve">Online </t>
  </si>
  <si>
    <t xml:space="preserve"> Cash</t>
  </si>
  <si>
    <t xml:space="preserve">Joao Silva</t>
  </si>
  <si>
    <t>Lisbon</t>
  </si>
  <si>
    <t xml:space="preserve">Sides &amp; Other</t>
  </si>
  <si>
    <t xml:space="preserve"> Cash</t>
  </si>
  <si>
    <t xml:space="preserve">Joao Silva</t>
  </si>
  <si>
    <t>Lisbon</t>
  </si>
  <si>
    <t>Burgers</t>
  </si>
  <si>
    <t xml:space="preserve">In-store </t>
  </si>
  <si>
    <t xml:space="preserve"> Cash</t>
  </si>
  <si>
    <t xml:space="preserve">Joao Silva</t>
  </si>
  <si>
    <t>Lisbon</t>
  </si>
  <si>
    <t xml:space="preserve">Chicken Sandwiches</t>
  </si>
  <si>
    <t xml:space="preserve">In-store </t>
  </si>
  <si>
    <t xml:space="preserve"> Cash</t>
  </si>
  <si>
    <t xml:space="preserve">Joao Silva</t>
  </si>
  <si>
    <t>Lisbon</t>
  </si>
  <si>
    <t>Fries</t>
  </si>
  <si>
    <t xml:space="preserve">In-store </t>
  </si>
  <si>
    <t xml:space="preserve"> Cash</t>
  </si>
  <si>
    <t xml:space="preserve">Joao Silva</t>
  </si>
  <si>
    <t>Lisbon</t>
  </si>
  <si>
    <t>Beverages</t>
  </si>
  <si>
    <t xml:space="preserve">In-store </t>
  </si>
  <si>
    <t xml:space="preserve"> Cash</t>
  </si>
  <si>
    <t xml:space="preserve">Joao Silva</t>
  </si>
  <si>
    <t>Lisbon</t>
  </si>
  <si>
    <t xml:space="preserve">Sides &amp; Other</t>
  </si>
  <si>
    <t xml:space="preserve">In-store </t>
  </si>
  <si>
    <t xml:space="preserve"> Cash</t>
  </si>
  <si>
    <t xml:space="preserve">Joao Silva</t>
  </si>
  <si>
    <t>Lisbon</t>
  </si>
  <si>
    <t>Burgers</t>
  </si>
  <si>
    <t xml:space="preserve">In-store </t>
  </si>
  <si>
    <t xml:space="preserve"> Cash</t>
  </si>
  <si>
    <t xml:space="preserve">Joao Silva</t>
  </si>
  <si>
    <t>Lisbon</t>
  </si>
  <si>
    <t xml:space="preserve">Chicken Sandwiches</t>
  </si>
  <si>
    <t xml:space="preserve">In-store </t>
  </si>
  <si>
    <t xml:space="preserve"> Cash</t>
  </si>
  <si>
    <t xml:space="preserve">Joao Silva</t>
  </si>
  <si>
    <t>Lisbon</t>
  </si>
  <si>
    <t>Fries</t>
  </si>
  <si>
    <t xml:space="preserve">In-store </t>
  </si>
  <si>
    <t xml:space="preserve"> Cash</t>
  </si>
  <si>
    <t xml:space="preserve">Joao Silva</t>
  </si>
  <si>
    <t>Lisbon</t>
  </si>
  <si>
    <t>Beverages</t>
  </si>
  <si>
    <t xml:space="preserve">In-store </t>
  </si>
  <si>
    <t xml:space="preserve"> Cash</t>
  </si>
  <si>
    <t xml:space="preserve">Joao Silva</t>
  </si>
  <si>
    <t>Lisbon</t>
  </si>
  <si>
    <t xml:space="preserve">Sides &amp; Other</t>
  </si>
  <si>
    <t xml:space="preserve">In-store </t>
  </si>
  <si>
    <t xml:space="preserve"> Cash</t>
  </si>
  <si>
    <t xml:space="preserve">Joao Silva</t>
  </si>
  <si>
    <t>Lisbon</t>
  </si>
  <si>
    <t>Burgers</t>
  </si>
  <si>
    <t xml:space="preserve">In-store </t>
  </si>
  <si>
    <t xml:space="preserve"> Cash</t>
  </si>
  <si>
    <t xml:space="preserve">Joao Silva</t>
  </si>
  <si>
    <t>Lisbon</t>
  </si>
  <si>
    <t xml:space="preserve">Chicken Sandwiches</t>
  </si>
  <si>
    <t xml:space="preserve">In-store </t>
  </si>
  <si>
    <t xml:space="preserve"> Cash</t>
  </si>
  <si>
    <t xml:space="preserve">Joao Silva</t>
  </si>
  <si>
    <t>Lisbon</t>
  </si>
  <si>
    <t>Fries</t>
  </si>
  <si>
    <t xml:space="preserve">In-store </t>
  </si>
  <si>
    <t xml:space="preserve"> Cash</t>
  </si>
  <si>
    <t xml:space="preserve">Joao Silva</t>
  </si>
  <si>
    <t>Lisbon</t>
  </si>
  <si>
    <t>Beverages</t>
  </si>
  <si>
    <t xml:space="preserve">In-store </t>
  </si>
  <si>
    <t xml:space="preserve"> Cash</t>
  </si>
  <si>
    <t xml:space="preserve">Joao Silva</t>
  </si>
  <si>
    <t>Lisbon</t>
  </si>
  <si>
    <t xml:space="preserve">Sides &amp; Other</t>
  </si>
  <si>
    <t xml:space="preserve">In-store </t>
  </si>
  <si>
    <t xml:space="preserve"> Cash</t>
  </si>
  <si>
    <t xml:space="preserve">Joao Silva</t>
  </si>
  <si>
    <t>Lisbon</t>
  </si>
  <si>
    <t>Burgers</t>
  </si>
  <si>
    <t xml:space="preserve">In-store </t>
  </si>
  <si>
    <t xml:space="preserve"> Cash</t>
  </si>
  <si>
    <t xml:space="preserve">Joao Silva</t>
  </si>
  <si>
    <t>Lisbon</t>
  </si>
  <si>
    <t xml:space="preserve">Chicken Sandwiches</t>
  </si>
  <si>
    <t xml:space="preserve">In-store </t>
  </si>
  <si>
    <t xml:space="preserve"> Cash</t>
  </si>
  <si>
    <t xml:space="preserve">Joao Silva</t>
  </si>
  <si>
    <t>Lisbon</t>
  </si>
  <si>
    <t>Fries</t>
  </si>
  <si>
    <t xml:space="preserve">In-store </t>
  </si>
  <si>
    <t xml:space="preserve"> Cash</t>
  </si>
  <si>
    <t xml:space="preserve">Joao Silva</t>
  </si>
  <si>
    <t>Lisbon</t>
  </si>
  <si>
    <t>Beverages</t>
  </si>
  <si>
    <t xml:space="preserve">In-store </t>
  </si>
  <si>
    <t xml:space="preserve"> Cash</t>
  </si>
  <si>
    <t xml:space="preserve">Joao Silva</t>
  </si>
  <si>
    <t>Lisbon</t>
  </si>
  <si>
    <t xml:space="preserve">Sides &amp; Other</t>
  </si>
  <si>
    <t xml:space="preserve">In-store </t>
  </si>
  <si>
    <t xml:space="preserve"> Cash</t>
  </si>
  <si>
    <t xml:space="preserve">Joao Silva</t>
  </si>
  <si>
    <t>Lisbon</t>
  </si>
  <si>
    <t>Burgers</t>
  </si>
  <si>
    <t xml:space="preserve">In-store </t>
  </si>
  <si>
    <t xml:space="preserve"> Cash</t>
  </si>
  <si>
    <t xml:space="preserve">Joao Silva</t>
  </si>
  <si>
    <t>Lisbon</t>
  </si>
  <si>
    <t xml:space="preserve">Chicken Sandwiches</t>
  </si>
  <si>
    <t xml:space="preserve">In-store </t>
  </si>
  <si>
    <t xml:space="preserve"> Cash</t>
  </si>
  <si>
    <t xml:space="preserve">Joao Silva</t>
  </si>
  <si>
    <t>Lisbon</t>
  </si>
  <si>
    <t>Fries</t>
  </si>
  <si>
    <t xml:space="preserve">In-store </t>
  </si>
  <si>
    <t xml:space="preserve"> Cash</t>
  </si>
  <si>
    <t xml:space="preserve">Joao Silva</t>
  </si>
  <si>
    <t>Lisbon</t>
  </si>
  <si>
    <t>Beverages</t>
  </si>
  <si>
    <t xml:space="preserve">In-store </t>
  </si>
  <si>
    <t xml:space="preserve"> Cash</t>
  </si>
  <si>
    <t xml:space="preserve">Joao Silva</t>
  </si>
  <si>
    <t>Lisbon</t>
  </si>
  <si>
    <t xml:space="preserve">Sides &amp; Other</t>
  </si>
  <si>
    <t xml:space="preserve">In-store </t>
  </si>
  <si>
    <t xml:space="preserve"> Cash</t>
  </si>
  <si>
    <t xml:space="preserve">Joao Silva</t>
  </si>
  <si>
    <t>Lisbon</t>
  </si>
  <si>
    <t>Burgers</t>
  </si>
  <si>
    <t xml:space="preserve">In-store </t>
  </si>
  <si>
    <t xml:space="preserve"> Cash</t>
  </si>
  <si>
    <t xml:space="preserve">Joao Silva</t>
  </si>
  <si>
    <t>Lisbon</t>
  </si>
  <si>
    <t xml:space="preserve">Chicken Sandwiches</t>
  </si>
  <si>
    <t xml:space="preserve">In-store </t>
  </si>
  <si>
    <t xml:space="preserve"> Cash</t>
  </si>
  <si>
    <t>Fries</t>
  </si>
  <si>
    <t xml:space="preserve">In-store </t>
  </si>
  <si>
    <t xml:space="preserve"> Cash</t>
  </si>
  <si>
    <t xml:space="preserve">Walter Muller</t>
  </si>
  <si>
    <t>Berlin</t>
  </si>
  <si>
    <t>Beverages</t>
  </si>
  <si>
    <t xml:space="preserve">In-store </t>
  </si>
  <si>
    <t xml:space="preserve"> Cash</t>
  </si>
  <si>
    <t xml:space="preserve">Walter Muller</t>
  </si>
  <si>
    <t>Berlin</t>
  </si>
  <si>
    <t xml:space="preserve">Sides &amp; Other</t>
  </si>
  <si>
    <t xml:space="preserve">In-store </t>
  </si>
  <si>
    <t xml:space="preserve"> Cash</t>
  </si>
  <si>
    <t xml:space="preserve">Walter Muller</t>
  </si>
  <si>
    <t>Berlin</t>
  </si>
  <si>
    <t>Burgers</t>
  </si>
  <si>
    <t xml:space="preserve">In-store </t>
  </si>
  <si>
    <t xml:space="preserve"> Cash</t>
  </si>
  <si>
    <t xml:space="preserve">Walter Muller</t>
  </si>
  <si>
    <t>Berlin</t>
  </si>
  <si>
    <t xml:space="preserve">Chicken Sandwiches</t>
  </si>
  <si>
    <t xml:space="preserve">In-store </t>
  </si>
  <si>
    <t xml:space="preserve"> Cash</t>
  </si>
  <si>
    <t xml:space="preserve">Walter Muller</t>
  </si>
  <si>
    <t>Berlin</t>
  </si>
  <si>
    <t>Fries</t>
  </si>
  <si>
    <t xml:space="preserve">In-store </t>
  </si>
  <si>
    <t xml:space="preserve"> Cash</t>
  </si>
  <si>
    <t xml:space="preserve">Walter Muller</t>
  </si>
  <si>
    <t>Berlin</t>
  </si>
  <si>
    <t>Beverages</t>
  </si>
  <si>
    <t xml:space="preserve">In-store </t>
  </si>
  <si>
    <t xml:space="preserve"> Cash</t>
  </si>
  <si>
    <t xml:space="preserve">Walter Muller</t>
  </si>
  <si>
    <t>Berlin</t>
  </si>
  <si>
    <t xml:space="preserve">Sides &amp; Other</t>
  </si>
  <si>
    <t xml:space="preserve">In-store </t>
  </si>
  <si>
    <t xml:space="preserve"> Cash</t>
  </si>
  <si>
    <t xml:space="preserve">Walter Muller</t>
  </si>
  <si>
    <t>Berlin</t>
  </si>
  <si>
    <t>Burgers</t>
  </si>
  <si>
    <t xml:space="preserve">In-store </t>
  </si>
  <si>
    <t xml:space="preserve"> Cash</t>
  </si>
  <si>
    <t xml:space="preserve">Walter Muller</t>
  </si>
  <si>
    <t>Berlin</t>
  </si>
  <si>
    <t xml:space="preserve">Chicken Sandwiches</t>
  </si>
  <si>
    <t xml:space="preserve">In-store </t>
  </si>
  <si>
    <t xml:space="preserve"> Cash</t>
  </si>
  <si>
    <t xml:space="preserve">Walter Muller</t>
  </si>
  <si>
    <t>Berlin</t>
  </si>
  <si>
    <t>Fries</t>
  </si>
  <si>
    <t xml:space="preserve">In-store </t>
  </si>
  <si>
    <t xml:space="preserve"> Cash</t>
  </si>
  <si>
    <t xml:space="preserve">Walter Muller</t>
  </si>
  <si>
    <t>Berlin</t>
  </si>
  <si>
    <t>Beverages</t>
  </si>
  <si>
    <t xml:space="preserve">In-store </t>
  </si>
  <si>
    <t xml:space="preserve"> Cash</t>
  </si>
  <si>
    <t xml:space="preserve">Walter Muller</t>
  </si>
  <si>
    <t>Berlin</t>
  </si>
  <si>
    <t xml:space="preserve">Sides &amp; Other</t>
  </si>
  <si>
    <t xml:space="preserve">In-store </t>
  </si>
  <si>
    <t xml:space="preserve"> Cash</t>
  </si>
  <si>
    <t xml:space="preserve">Walter Muller</t>
  </si>
  <si>
    <t>Berlin</t>
  </si>
  <si>
    <t>Burgers</t>
  </si>
  <si>
    <t xml:space="preserve">In-store </t>
  </si>
  <si>
    <t xml:space="preserve"> Cash</t>
  </si>
  <si>
    <t xml:space="preserve">Walter Muller</t>
  </si>
  <si>
    <t>Berlin</t>
  </si>
  <si>
    <t xml:space="preserve">Chicken Sandwiches</t>
  </si>
  <si>
    <t xml:space="preserve">In-store </t>
  </si>
  <si>
    <t xml:space="preserve"> Cash</t>
  </si>
  <si>
    <t xml:space="preserve">Walter Muller</t>
  </si>
  <si>
    <t>Berlin</t>
  </si>
  <si>
    <t>Fries</t>
  </si>
  <si>
    <t xml:space="preserve">In-store </t>
  </si>
  <si>
    <t xml:space="preserve">Walter Muller</t>
  </si>
  <si>
    <t>Berlin</t>
  </si>
  <si>
    <t>Beverages</t>
  </si>
  <si>
    <t xml:space="preserve"> Gift Card</t>
  </si>
  <si>
    <t xml:space="preserve">Walter Muller</t>
  </si>
  <si>
    <t>Berlin</t>
  </si>
  <si>
    <t xml:space="preserve">Sides &amp; Other</t>
  </si>
  <si>
    <t xml:space="preserve">Drive-thru </t>
  </si>
  <si>
    <t xml:space="preserve"> Gift Card</t>
  </si>
  <si>
    <t xml:space="preserve">Walter Muller</t>
  </si>
  <si>
    <t>Berlin</t>
  </si>
  <si>
    <t>Burgers</t>
  </si>
  <si>
    <t xml:space="preserve">Drive-thru </t>
  </si>
  <si>
    <t xml:space="preserve"> Gift Card</t>
  </si>
  <si>
    <t xml:space="preserve">Walter Muller</t>
  </si>
  <si>
    <t>Berlin</t>
  </si>
  <si>
    <t xml:space="preserve">Chicken Sandwiches</t>
  </si>
  <si>
    <t xml:space="preserve">Drive-thru </t>
  </si>
  <si>
    <t xml:space="preserve"> Gift Card</t>
  </si>
  <si>
    <t xml:space="preserve">Walter Muller</t>
  </si>
  <si>
    <t>Berlin</t>
  </si>
  <si>
    <t>Fries</t>
  </si>
  <si>
    <t xml:space="preserve">Drive-thru </t>
  </si>
  <si>
    <t xml:space="preserve"> Gift Card</t>
  </si>
  <si>
    <t xml:space="preserve">Walter Muller</t>
  </si>
  <si>
    <t>Berlin</t>
  </si>
  <si>
    <t>Beverages</t>
  </si>
  <si>
    <t xml:space="preserve">Drive-thru </t>
  </si>
  <si>
    <t xml:space="preserve"> Gift Card</t>
  </si>
  <si>
    <t xml:space="preserve">Walter Muller</t>
  </si>
  <si>
    <t>Berlin</t>
  </si>
  <si>
    <t xml:space="preserve">Drive-thru </t>
  </si>
  <si>
    <t xml:space="preserve"> Gift Card</t>
  </si>
  <si>
    <t xml:space="preserve">Walter Muller</t>
  </si>
  <si>
    <t>Berlin</t>
  </si>
  <si>
    <t xml:space="preserve">Drive-thru </t>
  </si>
  <si>
    <t xml:space="preserve"> Gift Card</t>
  </si>
  <si>
    <t xml:space="preserve">Walter Muller</t>
  </si>
  <si>
    <t>Berlin</t>
  </si>
  <si>
    <t xml:space="preserve">Drive-thru </t>
  </si>
  <si>
    <t xml:space="preserve"> Gift Card</t>
  </si>
  <si>
    <t xml:space="preserve">Walter Muller</t>
  </si>
  <si>
    <t>Berlin</t>
  </si>
  <si>
    <t xml:space="preserve">Drive-thru </t>
  </si>
  <si>
    <t xml:space="preserve"> Gift Card</t>
  </si>
  <si>
    <t xml:space="preserve">Walter Muller</t>
  </si>
  <si>
    <t>Berlin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</si>
</sst>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7">
    <numFmt numFmtId="164" formatCode="_([$$-409]* #,##0.00_);_([$$-409]* \(#,##0.00\);_([$$-409]* &quot;-&quot;??_);_(@_)"/>
    <numFmt numFmtId="165" formatCode="_([$$-409]* #,##0.00_);_([$$-409]* &quot;(&quot;#,##0.00&quot;)&quot;;_([$$-409]* &quot;-&quot;??.0_);_(@_)"/>
    <numFmt numFmtId="166" formatCode="dd/mm/yyyy"/>
    <numFmt numFmtId="167" formatCode="000.00"/>
    <numFmt numFmtId="168" formatCode="000.0"/>
    <numFmt numFmtId="169" formatCode="00.00"/>
    <numFmt numFmtId="170" formatCode="00.0"/>
  </numFmts>
  <fonts count="9">
    <font>
      <sz val="11.000000"/>
      <name val="Calibri"/>
      <scheme val="minor"/>
    </font>
    <font>
      <sz val="11.000000"/>
      <color theme="1"/>
      <name val="Calibri"/>
      <scheme val="minor"/>
    </font>
    <font>
      <sz val="48.000000"/>
      <name val="Z003"/>
    </font>
    <font>
      <sz val="48.000000"/>
      <color theme="3" tint="0"/>
      <name val="Z003"/>
    </font>
    <font>
      <sz val="20.000000"/>
      <name val="URW Gothic"/>
    </font>
    <font>
      <sz val="26.000000"/>
      <name val="URW Gothic"/>
    </font>
    <font>
      <sz val="18.000000"/>
      <name val="URW Gothic"/>
    </font>
    <font>
      <sz val="18.000000"/>
      <name val="Calibri"/>
      <scheme val="minor"/>
    </font>
    <font>
      <sz val="36.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DE9D9"/>
        <bgColor rgb="FFFDE9D9"/>
      </patternFill>
    </fill>
    <fill>
      <patternFill patternType="solid">
        <fgColor rgb="FFFF6C03"/>
        <bgColor rgb="FFFF6C03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2">
    <xf fontId="0" fillId="0" borderId="0" numFmtId="0" applyNumberFormat="1" applyFont="1" applyFill="1" applyBorder="1"/>
    <xf fontId="1" fillId="2" borderId="0" numFmtId="44" applyNumberFormat="1" applyFont="0" applyFill="0" applyBorder="0"/>
  </cellStyleXfs>
  <cellXfs count="30">
    <xf fontId="0" fillId="0" borderId="0" numFmtId="0" xfId="0"/>
    <xf fontId="0" fillId="3" borderId="0" numFmtId="0" xfId="0" applyFill="1"/>
    <xf fontId="2" fillId="4" borderId="0" numFmtId="0" xfId="0" applyFont="1" applyFill="1" applyAlignment="1">
      <alignment vertical="center" wrapText="1"/>
    </xf>
    <xf fontId="3" fillId="4" borderId="0" numFmtId="0" xfId="0" applyFont="1" applyFill="1" applyAlignment="1">
      <alignment vertical="center" wrapText="1"/>
    </xf>
    <xf fontId="4" fillId="3" borderId="0" numFmtId="0" xfId="0" applyFont="1" applyFill="1" applyAlignment="1">
      <alignment horizontal="center" vertical="center"/>
    </xf>
    <xf fontId="5" fillId="3" borderId="0" numFmtId="0" xfId="0" applyFont="1" applyFill="1" applyAlignment="1">
      <alignment horizontal="center" vertical="center"/>
    </xf>
    <xf fontId="5" fillId="3" borderId="0" numFmtId="164" xfId="1" applyNumberFormat="1" applyFont="1" applyFill="1" applyAlignment="1">
      <alignment horizontal="center" vertical="center"/>
    </xf>
    <xf fontId="6" fillId="3" borderId="0" numFmtId="0" xfId="0" applyFont="1" applyFill="1" applyAlignment="1">
      <alignment horizontal="center" vertical="center" wrapText="1"/>
    </xf>
    <xf fontId="7" fillId="3" borderId="0" numFmtId="0" xfId="0" applyFont="1" applyFill="1" applyAlignment="1">
      <alignment horizontal="center" vertical="center" wrapText="1"/>
    </xf>
    <xf fontId="0" fillId="4" borderId="0" numFmtId="0" xfId="0" applyFill="1"/>
    <xf fontId="6" fillId="5" borderId="0" numFmtId="0" xfId="0" applyFont="1" applyFill="1" applyAlignment="1">
      <alignment horizontal="center" vertical="center" wrapText="1"/>
    </xf>
    <xf fontId="6" fillId="5" borderId="0" numFmtId="0" xfId="0" applyFont="1" applyFill="1" applyAlignment="1">
      <alignment horizontal="center" vertical="center"/>
    </xf>
    <xf fontId="6" fillId="5" borderId="0" numFmtId="165" xfId="1" applyNumberFormat="1" applyFont="1" applyFill="1" applyAlignment="1">
      <alignment horizontal="center" vertical="center"/>
    </xf>
    <xf fontId="6" fillId="5" borderId="0" numFmtId="0" xfId="0" applyFont="1" applyFill="1" applyAlignment="1">
      <alignment horizontal="center" vertical="center" wrapText="1"/>
    </xf>
    <xf fontId="6" fillId="5" borderId="0" numFmtId="0" xfId="0" applyFont="1" applyFill="1" applyAlignment="1">
      <alignment horizontal="center" vertical="center"/>
    </xf>
    <xf fontId="8" fillId="3" borderId="0" numFmtId="0" xfId="0" applyFont="1" applyFill="1" applyAlignment="1">
      <alignment vertical="center" wrapText="1"/>
    </xf>
    <xf fontId="0" fillId="3" borderId="0" numFmtId="166" xfId="0" applyNumberFormat="1" applyFill="1"/>
    <xf fontId="0" fillId="0" borderId="0" numFmtId="0" xfId="0" applyAlignment="1">
      <alignment horizontal="left"/>
    </xf>
    <xf fontId="0" fillId="3" borderId="0" numFmtId="0" xfId="0" applyFill="1"/>
    <xf fontId="0" fillId="0" borderId="0" numFmtId="14" xfId="0" applyNumberFormat="1" applyAlignment="1">
      <alignment horizontal="left"/>
    </xf>
    <xf fontId="0" fillId="0" borderId="1" numFmtId="0" xfId="0" applyBorder="1"/>
    <xf fontId="0" fillId="0" borderId="0" numFmtId="0" xfId="0">
      <protection hidden="0" locked="1"/>
    </xf>
    <xf fontId="0" fillId="0" borderId="0" numFmtId="14" xfId="0" applyNumberFormat="1" applyAlignment="1">
      <alignment horizontal="left"/>
    </xf>
    <xf fontId="0" fillId="0" borderId="2" numFmtId="0" xfId="0" applyBorder="1"/>
    <xf fontId="0" fillId="0" borderId="0" numFmtId="14" xfId="0" applyNumberFormat="1"/>
    <xf fontId="0" fillId="0" borderId="0" numFmtId="2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  <xf fontId="0" fillId="0" borderId="0" numFmtId="170" xfId="0" applyNumberFormat="1"/>
  </cellXfs>
  <cellStyles count="2">
    <cellStyle name="Normal" xfId="0" builtinId="0"/>
    <cellStyle name="Currenc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pivotCacheDefinition" Target="pivotCache/pivotCacheDefinition1.xml"/><Relationship  Id="rId10" Type="http://schemas.openxmlformats.org/officeDocument/2006/relationships/theme" Target="theme/theme1.xml"/><Relationship  Id="rId11" Type="http://schemas.openxmlformats.org/officeDocument/2006/relationships/sharedStrings" Target="sharedStrings.xml"/><Relationship  Id="rId12" Type="http://schemas.openxmlformats.org/officeDocument/2006/relationships/styles" Target="styles.xml"/><Relationship  Id="rId2" Type="http://schemas.openxmlformats.org/officeDocument/2006/relationships/pivotCacheDefinition" Target="pivotCache/pivotCacheDefinition2.xml"/><Relationship  Id="rId3" Type="http://schemas.openxmlformats.org/officeDocument/2006/relationships/pivotCacheDefinition" Target="pivotCache/pivotCacheDefinition3.xml"/><Relationship  Id="rId4" Type="http://schemas.openxmlformats.org/officeDocument/2006/relationships/pivotCacheDefinition" Target="pivotCache/pivotCacheDefinition4.xml"/><Relationship  Id="rId5" Type="http://schemas.openxmlformats.org/officeDocument/2006/relationships/pivotCacheDefinition" Target="pivotCache/pivotCacheDefinition5.xml"/><Relationship  Id="rId6" Type="http://schemas.openxmlformats.org/officeDocument/2006/relationships/sheetMetadata" Target="metadata.xml"/><Relationship  Id="rId7" Type="http://schemas.openxmlformats.org/officeDocument/2006/relationships/worksheet" Target="worksheets/sheet1.xml"/><Relationship  Id="rId8" Type="http://schemas.openxmlformats.org/officeDocument/2006/relationships/worksheet" Target="worksheets/sheet2.xml"/><Relationship  Id="rId9" Type="http://schemas.openxmlformats.org/officeDocument/2006/relationships/worksheet" Target="worksheets/sheet3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<?xml version="1.0" encoding="UTF-8" standalone="yes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_rels/chart5.xml.rels><?xml version="1.0" encoding="UTF-8" standalone="yes"?><Relationships xmlns="http://schemas.openxmlformats.org/package/2006/relationships"><Relationship Id="rId1" Type="http://schemas.microsoft.com/office/2011/relationships/chartStyle" Target="style5.xml" /><Relationship Id="rId2" Type="http://schemas.microsoft.com/office/2011/relationships/chartColorStyle" Target="colors5.xml" /></Relationships>
</file>

<file path=xl/charts/_rels/chart6.xml.rels><?xml version="1.0" encoding="UTF-8" standalone="yes"?><Relationships xmlns="http://schemas.openxmlformats.org/package/2006/relationships"><Relationship Id="rId1" Type="http://schemas.microsoft.com/office/2011/relationships/chartStyle" Target="style6.xml" /><Relationship Id="rId2" Type="http://schemas.microsoft.com/office/2011/relationships/chartColorStyle" Target="colors6.xml" /></Relationships>
</file>

<file path=xl/charts/_rels/chart7.xml.rels><?xml version="1.0" encoding="UTF-8" standalone="yes"?><Relationships xmlns="http://schemas.openxmlformats.org/package/2006/relationships"><Relationship Id="rId1" Type="http://schemas.microsoft.com/office/2011/relationships/chartStyle" Target="style7.xml" /><Relationship Id="rId2" Type="http://schemas.microsoft.com/office/2011/relationships/chartColorStyle" Target="colors7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Number of Product Sold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600" b="1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spPr bwMode="auto">
            <a:prstGeom prst="rect">
              <a:avLst/>
            </a:prstGeom>
            <a:gradFill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</c:spPr>
          <c:dLbls>
            <c:dLblPos val="outEnd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Dashboard!$H$72:$H$76</c:f>
              <c:strCache>
                <c:ptCount val="5"/>
                <c:pt idx="0">
                  <c:v>Beverages</c:v>
                </c:pt>
                <c:pt idx="1">
                  <c:v>Fries</c:v>
                </c:pt>
                <c:pt idx="2">
                  <c:v>Burgers</c:v>
                </c:pt>
                <c:pt idx="3">
                  <c:v>Chicken Sandwiches</c:v>
                </c:pt>
                <c:pt idx="4">
                  <c:v>Sides &amp; Other</c:v>
                </c:pt>
              </c:strCache>
            </c:strRef>
          </c:cat>
          <c:val>
            <c:numRef>
              <c:f>Dashboard!$I$72:$I$76</c:f>
              <c:numCache>
                <c:formatCode>General</c:formatCode>
                <c:ptCount val="5"/>
                <c:pt idx="0">
                  <c:v>34983.14000000001</c:v>
                </c:pt>
                <c:pt idx="1">
                  <c:v>32034.339999999986</c:v>
                </c:pt>
                <c:pt idx="2">
                  <c:v>29022.309999999994</c:v>
                </c:pt>
                <c:pt idx="3">
                  <c:v>11135.920000000002</c:v>
                </c:pt>
                <c:pt idx="4">
                  <c:v>9819.599999999991</c:v>
                </c:pt>
              </c:numCache>
            </c:numRef>
          </c:val>
        </c:ser>
        <c:dLbls>
          <c:dLblPos val="outEnd"/>
          <c:showBubbleSize val="0"/>
          <c:showCatName val="0"/>
          <c:showLeaderLines val="0"/>
          <c:showLegendKey val="0"/>
          <c:showPercent val="0"/>
          <c:showSerName val="0"/>
          <c:showVal val="1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gapWidth val="100"/>
        <c:overlap val="-23"/>
        <c:axId val="1866169545"/>
        <c:axId val="1866169546"/>
      </c:barChart>
      <c:catAx>
        <c:axId val="1866169545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546"/>
        <c:crosses val="autoZero"/>
        <c:auto val="1"/>
        <c:lblAlgn val="ctr"/>
        <c:lblOffset val="100"/>
        <c:noMultiLvlLbl val="0"/>
      </c:catAx>
      <c:valAx>
        <c:axId val="186616954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545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 rot="0">
      <a:off x="11810999" y="1027048"/>
      <a:ext cx="3952874" cy="3262312"/>
    </a:xfrm>
    <a:prstGeom prst="rect">
      <a:avLst/>
    </a:prstGeom>
    <a:noFill/>
    <a:ln w="9525" cap="flat" cmpd="sng" algn="ctr">
      <a:noFill/>
      <a:round/>
    </a:ln>
  </c:spPr>
  <c:txPr>
    <a:bodyPr/>
    <a:p>
      <a:pPr>
        <a:defRPr sz="900">
          <a:solidFill>
            <a:schemeClr val="tx2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1" i="0" cap="all" spc="49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Payment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1" i="0" cap="all" spc="49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pieChart>
        <c:varyColors val="1"/>
        <c:ser>
          <c:idx val="0"/>
          <c:order val="0"/>
          <c:dPt>
            <c:idx val="0"/>
            <c:spPr bwMode="auto">
              <a:prstGeom prst="rect">
                <a:avLst/>
              </a:prstGeom>
              <a:solidFill>
                <a:schemeClr val="accent1"/>
              </a:solidFill>
              <a:ln>
                <a:noFill/>
              </a:ln>
            </c:spPr>
          </c:dPt>
          <c:dPt>
            <c:idx val="1"/>
            <c:spPr bwMode="auto">
              <a:prstGeom prst="rect">
                <a:avLst/>
              </a:prstGeom>
              <a:solidFill>
                <a:schemeClr val="accent2"/>
              </a:solidFill>
              <a:ln>
                <a:noFill/>
              </a:ln>
            </c:spPr>
          </c:dPt>
          <c:dPt>
            <c:idx val="2"/>
            <c:spPr bwMode="auto">
              <a:prstGeom prst="rect">
                <a:avLst/>
              </a:prstGeom>
              <a:solidFill>
                <a:schemeClr val="accent3"/>
              </a:solidFill>
              <a:ln>
                <a:noFill/>
              </a:ln>
            </c:spPr>
          </c:dPt>
          <c:dLbls>
            <c:dLbl>
              <c:idx val="0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9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1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9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2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9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Pos val="inEnd"/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 b="1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Dashboard!$E$72:$E$74</c:f>
              <c:strCache>
                <c:ptCount val="3"/>
                <c:pt idx="0">
                  <c:v xml:space="preserve"> Credit Card</c:v>
                </c:pt>
                <c:pt idx="1">
                  <c:v xml:space="preserve"> Cash</c:v>
                </c:pt>
                <c:pt idx="2">
                  <c:v xml:space="preserve"> Gift Card</c:v>
                </c:pt>
              </c:strCache>
            </c:strRef>
          </c:cat>
          <c:val>
            <c:numRef>
              <c:f>Dashboard!$F$72:$F$74</c:f>
              <c:numCache>
                <c:formatCode>General</c:formatCode>
                <c:ptCount val="3"/>
                <c:pt idx="0">
                  <c:v>120</c:v>
                </c:pt>
                <c:pt idx="1">
                  <c:v>76</c:v>
                </c:pt>
                <c:pt idx="2">
                  <c:v>58</c:v>
                </c:pt>
              </c:numCache>
            </c:numRef>
          </c:val>
        </c:ser>
        <c:dLbls>
          <c:dLblPos val="inEnd"/>
          <c:showBubbleSize val="0"/>
          <c:showCatName val="0"/>
          <c:showLeaderLines val="1"/>
          <c:showLegendKey val="0"/>
          <c:showPercent val="1"/>
          <c:showSerName val="0"/>
          <c:showVal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</c:pieChart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legend>
    <c:plotVisOnly val="1"/>
    <c:dispBlanksAs val="gap"/>
    <c:showDLblsOverMax val="0"/>
  </c:chart>
  <c:spPr bwMode="auto">
    <a:xfrm rot="0">
      <a:off x="7681798" y="4402517"/>
      <a:ext cx="3995849" cy="2322130"/>
    </a:xfrm>
    <a:prstGeom prst="rect">
      <a:avLst/>
    </a:prstGeom>
    <a:noFill/>
    <a:ln w="6350" cap="flat" cmpd="sng" algn="ctr">
      <a:noFill/>
      <a:prstDash val="solid"/>
      <a:round/>
    </a:ln>
  </c:spPr>
  <c:txPr>
    <a:bodyPr/>
    <a:p>
      <a:pPr>
        <a:defRPr sz="9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600" b="1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/>
              <a:t>Revenue by City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600" b="1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spPr bwMode="auto">
            <a:prstGeom prst="rect">
              <a:avLst/>
            </a:prstGeom>
            <a:gradFill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</c:spPr>
          <c:invertIfNegative val="0"/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Dashboard!$E$80:$E$84</c:f>
              <c:strCache>
                <c:ptCount val="5"/>
                <c:pt idx="0">
                  <c:v>Lisbon</c:v>
                </c:pt>
                <c:pt idx="1">
                  <c:v>Berlin</c:v>
                </c:pt>
                <c:pt idx="2">
                  <c:v>London</c:v>
                </c:pt>
                <c:pt idx="3">
                  <c:v>Madrid</c:v>
                </c:pt>
                <c:pt idx="4">
                  <c:v>Paris</c:v>
                </c:pt>
              </c:strCache>
            </c:strRef>
          </c:cat>
          <c:val>
            <c:numRef>
              <c:f>Dashboard!$F$80:$F$84</c:f>
              <c:numCache>
                <c:formatCode>General</c:formatCode>
                <c:ptCount val="5"/>
                <c:pt idx="0">
                  <c:v>16074.435</c:v>
                </c:pt>
                <c:pt idx="1">
                  <c:v>9800.045699999999</c:v>
                </c:pt>
                <c:pt idx="2">
                  <c:v>7600.059300000001</c:v>
                </c:pt>
                <c:pt idx="3">
                  <c:v>7199.9673</c:v>
                </c:pt>
                <c:pt idx="4">
                  <c:v>7199.9673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gapWidth val="100"/>
        <c:overlap val="-23"/>
        <c:axId val="1866169475"/>
        <c:axId val="1866169476"/>
      </c:barChart>
      <c:catAx>
        <c:axId val="18661694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76"/>
        <c:crosses val="autoZero"/>
        <c:auto val="1"/>
        <c:lblAlgn val="ctr"/>
        <c:lblOffset val="100"/>
        <c:noMultiLvlLbl val="0"/>
      </c:catAx>
      <c:valAx>
        <c:axId val="186616947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75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3495298" y="4401374"/>
      <a:ext cx="4010399" cy="3180524"/>
    </a:xfrm>
    <a:prstGeom prst="rect">
      <a:avLst/>
    </a:prstGeom>
    <a:noFill/>
    <a:ln w="6350" cap="flat" cmpd="sng" algn="ctr">
      <a:noFill/>
      <a:prstDash val="solid"/>
      <a:round/>
    </a:ln>
  </c:spPr>
  <c:txPr>
    <a:bodyPr/>
    <a:p>
      <a:pPr>
        <a:defRPr sz="900">
          <a:solidFill>
            <a:schemeClr val="tx2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1" i="0" cap="all" spc="49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Purchase Type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1" i="0" cap="all" spc="49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pieChart>
        <c:varyColors val="1"/>
        <c:ser>
          <c:idx val="0"/>
          <c:order val="0"/>
          <c:dPt>
            <c:idx val="0"/>
            <c:spPr bwMode="auto">
              <a:prstGeom prst="rect">
                <a:avLst/>
              </a:prstGeom>
              <a:solidFill>
                <a:schemeClr val="accent1"/>
              </a:solidFill>
              <a:ln>
                <a:noFill/>
              </a:ln>
            </c:spPr>
          </c:dPt>
          <c:dPt>
            <c:idx val="1"/>
            <c:spPr bwMode="auto">
              <a:prstGeom prst="rect">
                <a:avLst/>
              </a:prstGeom>
              <a:solidFill>
                <a:schemeClr val="accent2"/>
              </a:solidFill>
              <a:ln>
                <a:noFill/>
              </a:ln>
            </c:spPr>
          </c:dPt>
          <c:dPt>
            <c:idx val="2"/>
            <c:spPr bwMode="auto">
              <a:prstGeom prst="rect">
                <a:avLst/>
              </a:prstGeom>
              <a:solidFill>
                <a:schemeClr val="accent3"/>
              </a:solidFill>
              <a:ln>
                <a:noFill/>
              </a:ln>
            </c:spPr>
          </c:dPt>
          <c:dLbls>
            <c:dLbl>
              <c:idx val="0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9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1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9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2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9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Pos val="inEnd"/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 b="1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Dashboard!$H$80:$H$82</c:f>
              <c:strCache>
                <c:ptCount val="3"/>
                <c:pt idx="0">
                  <c:v xml:space="preserve">Drive-thru </c:v>
                </c:pt>
                <c:pt idx="1">
                  <c:v xml:space="preserve">In-store </c:v>
                </c:pt>
                <c:pt idx="2">
                  <c:v xml:space="preserve">Online </c:v>
                </c:pt>
              </c:strCache>
            </c:strRef>
          </c:cat>
          <c:val>
            <c:numRef>
              <c:f>Dashboard!$I$80:$I$82</c:f>
              <c:numCache>
                <c:formatCode>General</c:formatCode>
                <c:ptCount val="3"/>
                <c:pt idx="0">
                  <c:v>61</c:v>
                </c:pt>
                <c:pt idx="1">
                  <c:v>86</c:v>
                </c:pt>
                <c:pt idx="2">
                  <c:v>107</c:v>
                </c:pt>
              </c:numCache>
            </c:numRef>
          </c:val>
        </c:ser>
        <c:dLbls>
          <c:dLblPos val="inEnd"/>
          <c:showBubbleSize val="0"/>
          <c:showCatName val="0"/>
          <c:showLeaderLines val="1"/>
          <c:showLegendKey val="0"/>
          <c:showPercent val="1"/>
          <c:showSerName val="0"/>
          <c:showVal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firstSliceAng val="0"/>
      </c:pieChart>
      <c:spPr bwMode="auto">
        <a:prstGeom prst="rect">
          <a:avLst/>
        </a:prstGeom>
        <a:noFill/>
        <a:ln>
          <a:noFill/>
        </a:ln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11801474" y="4394136"/>
      <a:ext cx="3962399" cy="2313749"/>
    </a:xfrm>
    <a:prstGeom prst="rect">
      <a:avLst/>
    </a:prstGeom>
    <a:noFill/>
    <a:ln w="9525" cap="flat" cmpd="sng" algn="ctr">
      <a:noFill/>
      <a:round/>
    </a:ln>
  </c:spPr>
  <c:txPr>
    <a:bodyPr/>
    <a:p>
      <a:pPr>
        <a:defRPr sz="9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Manager Performance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600" b="1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spPr bwMode="auto">
            <a:prstGeom prst="rect">
              <a:avLst/>
            </a:prstGeom>
            <a:gradFill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5400000" scaled="1"/>
            </a:gradFill>
            <a:ln>
              <a:noFill/>
            </a:ln>
          </c:spPr>
          <c:dLbls>
            <c:dLblPos val="outEnd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Dashboard!$B$72:$B$76</c:f>
              <c:strCache>
                <c:ptCount val="5"/>
                <c:pt idx="0">
                  <c:v>Joao Silva</c:v>
                </c:pt>
                <c:pt idx="1">
                  <c:v>Walter Muller</c:v>
                </c:pt>
                <c:pt idx="2">
                  <c:v>Tom Jackson</c:v>
                </c:pt>
                <c:pt idx="3">
                  <c:v>Pablo Perez</c:v>
                </c:pt>
                <c:pt idx="4">
                  <c:v>Remy Monet</c:v>
                </c:pt>
              </c:strCache>
            </c:strRef>
          </c:cat>
          <c:val>
            <c:numRef>
              <c:f>Dashboard!$C$72:$C$76</c:f>
              <c:numCache>
                <c:formatCode>General</c:formatCode>
                <c:ptCount val="5"/>
                <c:pt idx="0">
                  <c:v>16074.435</c:v>
                </c:pt>
                <c:pt idx="1">
                  <c:v>9800.045699999999</c:v>
                </c:pt>
                <c:pt idx="2">
                  <c:v>7600.059300000001</c:v>
                </c:pt>
                <c:pt idx="3">
                  <c:v>7199.9673</c:v>
                </c:pt>
                <c:pt idx="4">
                  <c:v>7199.9673</c:v>
                </c:pt>
              </c:numCache>
            </c:numRef>
          </c:val>
        </c:ser>
        <c:dLbls>
          <c:dLblPos val="outEnd"/>
          <c:showBubbleSize val="0"/>
          <c:showCatName val="0"/>
          <c:showLeaderLines val="0"/>
          <c:showLegendKey val="0"/>
          <c:showPercent val="0"/>
          <c:showSerName val="0"/>
          <c:showVal val="1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gapWidth val="100"/>
        <c:overlap val="-23"/>
        <c:axId val="1866169507"/>
        <c:axId val="1866169508"/>
      </c:barChart>
      <c:catAx>
        <c:axId val="1866169507"/>
        <c:scaling>
          <c:orientation val="minMax"/>
        </c:scaling>
        <c:delete val="0"/>
        <c:axPos val="b"/>
        <c:majorTickMark val="none"/>
        <c:minorTickMark val="none"/>
        <c:tickLblPos val="nextTo"/>
        <c:spPr bwMode="auto">
          <a:prstGeom prst="rect">
            <a:avLst/>
          </a:prstGeom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508"/>
        <c:crosses val="autoZero"/>
        <c:auto val="1"/>
        <c:lblAlgn val="ctr"/>
        <c:lblOffset val="100"/>
        <c:noMultiLvlLbl val="0"/>
      </c:catAx>
      <c:valAx>
        <c:axId val="186616950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50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 rot="0">
      <a:off x="7656449" y="1042986"/>
      <a:ext cx="4021200" cy="3247199"/>
    </a:xfrm>
    <a:prstGeom prst="rect">
      <a:avLst/>
    </a:prstGeom>
    <a:noFill/>
    <a:ln w="9525" cap="flat" cmpd="sng" algn="ctr">
      <a:noFill/>
      <a:round/>
    </a:ln>
  </c:spPr>
  <c:txPr>
    <a:bodyPr/>
    <a:p>
      <a:pPr>
        <a:defRPr sz="900">
          <a:solidFill>
            <a:schemeClr val="tx2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Revenue per Day</a:t>
            </a:r>
            <a:endParaRPr b="1"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1"/>
          <c:order val="0"/>
          <c:spPr bwMode="auto">
            <a:prstGeom prst="rect">
              <a:avLst/>
            </a:prstGeom>
            <a:solidFill>
              <a:schemeClr val="accent2"/>
            </a:solidFill>
            <a:ln w="28575" cap="rnd">
              <a:solidFill>
                <a:srgbClr val="2E619F"/>
              </a:solidFill>
              <a:prstDash val="solid"/>
              <a:round/>
            </a:ln>
          </c:spPr>
          <c:marker>
            <c:symbol val="none"/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numRef>
              <c:f>Dashboard!$B$80:$B$132</c:f>
              <c:numCache>
                <c:formatCode>dd/mm/yyyy</c:formatCode>
                <c:ptCount val="53"/>
                <c:pt idx="0">
                  <c:v>44872</c:v>
                </c:pt>
                <c:pt idx="1">
                  <c:v>44873</c:v>
                </c:pt>
                <c:pt idx="2">
                  <c:v>44874</c:v>
                </c:pt>
                <c:pt idx="3">
                  <c:v>44875</c:v>
                </c:pt>
                <c:pt idx="4">
                  <c:v>44876</c:v>
                </c:pt>
                <c:pt idx="5">
                  <c:v>44877</c:v>
                </c:pt>
                <c:pt idx="6">
                  <c:v>44878</c:v>
                </c:pt>
                <c:pt idx="7">
                  <c:v>44879</c:v>
                </c:pt>
                <c:pt idx="8">
                  <c:v>44880</c:v>
                </c:pt>
                <c:pt idx="9">
                  <c:v>44881</c:v>
                </c:pt>
                <c:pt idx="10">
                  <c:v>44882</c:v>
                </c:pt>
                <c:pt idx="11">
                  <c:v>44883</c:v>
                </c:pt>
                <c:pt idx="12">
                  <c:v>44884</c:v>
                </c:pt>
                <c:pt idx="13">
                  <c:v>44885</c:v>
                </c:pt>
                <c:pt idx="14">
                  <c:v>44886</c:v>
                </c:pt>
                <c:pt idx="15">
                  <c:v>44887</c:v>
                </c:pt>
                <c:pt idx="16">
                  <c:v>44888</c:v>
                </c:pt>
                <c:pt idx="17">
                  <c:v>44889</c:v>
                </c:pt>
                <c:pt idx="18">
                  <c:v>44890</c:v>
                </c:pt>
                <c:pt idx="19">
                  <c:v>44891</c:v>
                </c:pt>
                <c:pt idx="20">
                  <c:v>44892</c:v>
                </c:pt>
                <c:pt idx="21">
                  <c:v>44893</c:v>
                </c:pt>
                <c:pt idx="22">
                  <c:v>44894</c:v>
                </c:pt>
                <c:pt idx="23">
                  <c:v>44895</c:v>
                </c:pt>
                <c:pt idx="24">
                  <c:v>44896</c:v>
                </c:pt>
                <c:pt idx="25">
                  <c:v>44897</c:v>
                </c:pt>
                <c:pt idx="26">
                  <c:v>44898</c:v>
                </c:pt>
                <c:pt idx="27">
                  <c:v>44899</c:v>
                </c:pt>
                <c:pt idx="28">
                  <c:v>44900</c:v>
                </c:pt>
                <c:pt idx="29">
                  <c:v>44901</c:v>
                </c:pt>
                <c:pt idx="30">
                  <c:v>44902</c:v>
                </c:pt>
                <c:pt idx="31">
                  <c:v>44903</c:v>
                </c:pt>
                <c:pt idx="32">
                  <c:v>44904</c:v>
                </c:pt>
                <c:pt idx="33">
                  <c:v>44905</c:v>
                </c:pt>
                <c:pt idx="34">
                  <c:v>44906</c:v>
                </c:pt>
                <c:pt idx="35">
                  <c:v>44907</c:v>
                </c:pt>
                <c:pt idx="36">
                  <c:v>44908</c:v>
                </c:pt>
                <c:pt idx="37">
                  <c:v>44909</c:v>
                </c:pt>
                <c:pt idx="38">
                  <c:v>44910</c:v>
                </c:pt>
                <c:pt idx="39">
                  <c:v>44911</c:v>
                </c:pt>
                <c:pt idx="40">
                  <c:v>44912</c:v>
                </c:pt>
                <c:pt idx="41">
                  <c:v>44913</c:v>
                </c:pt>
                <c:pt idx="42">
                  <c:v>44914</c:v>
                </c:pt>
                <c:pt idx="43">
                  <c:v>44915</c:v>
                </c:pt>
                <c:pt idx="44">
                  <c:v>44916</c:v>
                </c:pt>
                <c:pt idx="45">
                  <c:v>44917</c:v>
                </c:pt>
                <c:pt idx="46">
                  <c:v>44918</c:v>
                </c:pt>
                <c:pt idx="47">
                  <c:v>44919</c:v>
                </c:pt>
                <c:pt idx="48">
                  <c:v>44920</c:v>
                </c:pt>
                <c:pt idx="49">
                  <c:v>44921</c:v>
                </c:pt>
                <c:pt idx="50">
                  <c:v>44922</c:v>
                </c:pt>
                <c:pt idx="51">
                  <c:v>44923</c:v>
                </c:pt>
                <c:pt idx="52">
                  <c:v>44924</c:v>
                </c:pt>
              </c:numCache>
            </c:numRef>
          </c:cat>
          <c:val>
            <c:numRef>
              <c:f>Dashboard!$C$80:$C$132</c:f>
              <c:numCache>
                <c:formatCode>General</c:formatCode>
                <c:ptCount val="53"/>
                <c:pt idx="0">
                  <c:v>5200.002300000001</c:v>
                </c:pt>
                <c:pt idx="1">
                  <c:v>12400.073100000001</c:v>
                </c:pt>
                <c:pt idx="2">
                  <c:v>14200.0386</c:v>
                </c:pt>
                <c:pt idx="3">
                  <c:v>13200.0426</c:v>
                </c:pt>
                <c:pt idx="4">
                  <c:v>14400.015599999999</c:v>
                </c:pt>
                <c:pt idx="5">
                  <c:v>14000.053500000002</c:v>
                </c:pt>
                <c:pt idx="6">
                  <c:v>27674.4512</c:v>
                </c:pt>
                <c:pt idx="7">
                  <c:v>17839.3445</c:v>
                </c:pt>
                <c:pt idx="8">
                  <c:v>13600.0305</c:v>
                </c:pt>
                <c:pt idx="9">
                  <c:v>13600.0305</c:v>
                </c:pt>
                <c:pt idx="10">
                  <c:v>14000.053500000002</c:v>
                </c:pt>
                <c:pt idx="11">
                  <c:v>14400.111399999998</c:v>
                </c:pt>
                <c:pt idx="12">
                  <c:v>14000.019400000001</c:v>
                </c:pt>
                <c:pt idx="13">
                  <c:v>8200.0466</c:v>
                </c:pt>
                <c:pt idx="14">
                  <c:v>14000.0838</c:v>
                </c:pt>
                <c:pt idx="15">
                  <c:v>13599.9918</c:v>
                </c:pt>
                <c:pt idx="16">
                  <c:v>13800.037800000002</c:v>
                </c:pt>
                <c:pt idx="17">
                  <c:v>13600.0259</c:v>
                </c:pt>
                <c:pt idx="18">
                  <c:v>13399.979900000002</c:v>
                </c:pt>
                <c:pt idx="19">
                  <c:v>13200.0638</c:v>
                </c:pt>
                <c:pt idx="20">
                  <c:v>13399.979900000002</c:v>
                </c:pt>
                <c:pt idx="21">
                  <c:v>13400.045399999999</c:v>
                </c:pt>
                <c:pt idx="22">
                  <c:v>13400.045399999999</c:v>
                </c:pt>
                <c:pt idx="23">
                  <c:v>13600.091400000001</c:v>
                </c:pt>
                <c:pt idx="24">
                  <c:v>13400.114400000002</c:v>
                </c:pt>
                <c:pt idx="25">
                  <c:v>14000.053500000002</c:v>
                </c:pt>
                <c:pt idx="26">
                  <c:v>14000.053500000002</c:v>
                </c:pt>
                <c:pt idx="27">
                  <c:v>9000.100699999999</c:v>
                </c:pt>
                <c:pt idx="28">
                  <c:v>14200.0386</c:v>
                </c:pt>
                <c:pt idx="29">
                  <c:v>14000.122500000001</c:v>
                </c:pt>
                <c:pt idx="30">
                  <c:v>14000.053500000002</c:v>
                </c:pt>
                <c:pt idx="31">
                  <c:v>14200.0995</c:v>
                </c:pt>
                <c:pt idx="32">
                  <c:v>14600.0616</c:v>
                </c:pt>
                <c:pt idx="33">
                  <c:v>14600.0616</c:v>
                </c:pt>
                <c:pt idx="34">
                  <c:v>15000.0881</c:v>
                </c:pt>
                <c:pt idx="35">
                  <c:v>14600.0616</c:v>
                </c:pt>
                <c:pt idx="36">
                  <c:v>14600.0616</c:v>
                </c:pt>
                <c:pt idx="37">
                  <c:v>14600.010600000001</c:v>
                </c:pt>
                <c:pt idx="38">
                  <c:v>14400.0945</c:v>
                </c:pt>
                <c:pt idx="39">
                  <c:v>15000.037099999998</c:v>
                </c:pt>
                <c:pt idx="40">
                  <c:v>15400.095000000001</c:v>
                </c:pt>
                <c:pt idx="41">
                  <c:v>15600.0111</c:v>
                </c:pt>
                <c:pt idx="42">
                  <c:v>15799.961299999999</c:v>
                </c:pt>
                <c:pt idx="43">
                  <c:v>16000.007300000001</c:v>
                </c:pt>
                <c:pt idx="44">
                  <c:v>16399.9694</c:v>
                </c:pt>
                <c:pt idx="45">
                  <c:v>16599.9644</c:v>
                </c:pt>
                <c:pt idx="46">
                  <c:v>16000.021800000002</c:v>
                </c:pt>
                <c:pt idx="47">
                  <c:v>16399.983900000003</c:v>
                </c:pt>
                <c:pt idx="48">
                  <c:v>16599.978900000002</c:v>
                </c:pt>
                <c:pt idx="49">
                  <c:v>17000.019900000003</c:v>
                </c:pt>
                <c:pt idx="50">
                  <c:v>17000.019900000003</c:v>
                </c:pt>
                <c:pt idx="51">
                  <c:v>17599.977</c:v>
                </c:pt>
                <c:pt idx="52">
                  <c:v>16800.077999999998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marker val="0"/>
        <c:smooth val="0"/>
        <c:axId val="511721971"/>
        <c:axId val="511721972"/>
      </c:lineChart>
      <c:catAx>
        <c:axId val="51172197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511721972"/>
        <c:crosses val="autoZero"/>
        <c:auto val="1"/>
        <c:lblAlgn val="ctr"/>
        <c:lblOffset val="100"/>
        <c:noMultiLvlLbl val="0"/>
      </c:catAx>
      <c:valAx>
        <c:axId val="51172197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51172197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 rot="0">
      <a:off x="3495674" y="1047749"/>
      <a:ext cx="4010023" cy="3248024"/>
    </a:xfrm>
    <a:prstGeom prst="rect">
      <a:avLst/>
    </a:prstGeom>
    <a:noFill/>
    <a:ln w="6350" cap="flat" cmpd="sng" algn="ctr">
      <a:noFill/>
      <a:prstDash val="solid"/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Date-wise Revenue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Analysis!$B$35</c:f>
              <c:strCache>
                <c:ptCount val="1"/>
                <c:pt idx="0">
                  <c:v>Sum of Revenue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marker>
            <c:symbol val="none"/>
          </c:marker>
          <c:cat>
            <c:numRef>
              <c:f>Analysis!$A$36:$A$88</c:f>
              <c:numCache>
                <c:formatCode>m/d/yyyy</c:formatCode>
                <c:ptCount val="53"/>
                <c:pt idx="0">
                  <c:v>44872</c:v>
                </c:pt>
                <c:pt idx="1">
                  <c:v>44873</c:v>
                </c:pt>
                <c:pt idx="2">
                  <c:v>44874</c:v>
                </c:pt>
                <c:pt idx="3">
                  <c:v>44875</c:v>
                </c:pt>
                <c:pt idx="4">
                  <c:v>44876</c:v>
                </c:pt>
                <c:pt idx="5">
                  <c:v>44877</c:v>
                </c:pt>
                <c:pt idx="6">
                  <c:v>44878</c:v>
                </c:pt>
                <c:pt idx="7">
                  <c:v>44879</c:v>
                </c:pt>
                <c:pt idx="8">
                  <c:v>44880</c:v>
                </c:pt>
                <c:pt idx="9">
                  <c:v>44881</c:v>
                </c:pt>
                <c:pt idx="10">
                  <c:v>44882</c:v>
                </c:pt>
                <c:pt idx="11">
                  <c:v>44883</c:v>
                </c:pt>
                <c:pt idx="12">
                  <c:v>44884</c:v>
                </c:pt>
                <c:pt idx="13">
                  <c:v>44885</c:v>
                </c:pt>
                <c:pt idx="14">
                  <c:v>44886</c:v>
                </c:pt>
                <c:pt idx="15">
                  <c:v>44887</c:v>
                </c:pt>
                <c:pt idx="16">
                  <c:v>44888</c:v>
                </c:pt>
                <c:pt idx="17">
                  <c:v>44889</c:v>
                </c:pt>
                <c:pt idx="18">
                  <c:v>44890</c:v>
                </c:pt>
                <c:pt idx="19">
                  <c:v>44891</c:v>
                </c:pt>
                <c:pt idx="20">
                  <c:v>44892</c:v>
                </c:pt>
                <c:pt idx="21">
                  <c:v>44893</c:v>
                </c:pt>
                <c:pt idx="22">
                  <c:v>44894</c:v>
                </c:pt>
                <c:pt idx="23">
                  <c:v>44895</c:v>
                </c:pt>
                <c:pt idx="24">
                  <c:v>44896</c:v>
                </c:pt>
                <c:pt idx="25">
                  <c:v>44897</c:v>
                </c:pt>
                <c:pt idx="26">
                  <c:v>44898</c:v>
                </c:pt>
                <c:pt idx="27">
                  <c:v>44899</c:v>
                </c:pt>
                <c:pt idx="28">
                  <c:v>44900</c:v>
                </c:pt>
                <c:pt idx="29">
                  <c:v>44901</c:v>
                </c:pt>
                <c:pt idx="30">
                  <c:v>44902</c:v>
                </c:pt>
                <c:pt idx="31">
                  <c:v>44903</c:v>
                </c:pt>
                <c:pt idx="32">
                  <c:v>44904</c:v>
                </c:pt>
                <c:pt idx="33">
                  <c:v>44905</c:v>
                </c:pt>
                <c:pt idx="34">
                  <c:v>44906</c:v>
                </c:pt>
                <c:pt idx="35">
                  <c:v>44907</c:v>
                </c:pt>
                <c:pt idx="36">
                  <c:v>44908</c:v>
                </c:pt>
                <c:pt idx="37">
                  <c:v>44909</c:v>
                </c:pt>
                <c:pt idx="38">
                  <c:v>44910</c:v>
                </c:pt>
                <c:pt idx="39">
                  <c:v>44911</c:v>
                </c:pt>
                <c:pt idx="40">
                  <c:v>44912</c:v>
                </c:pt>
                <c:pt idx="41">
                  <c:v>44913</c:v>
                </c:pt>
                <c:pt idx="42">
                  <c:v>44914</c:v>
                </c:pt>
                <c:pt idx="43">
                  <c:v>44915</c:v>
                </c:pt>
                <c:pt idx="44">
                  <c:v>44916</c:v>
                </c:pt>
                <c:pt idx="45">
                  <c:v>44917</c:v>
                </c:pt>
                <c:pt idx="46">
                  <c:v>44918</c:v>
                </c:pt>
                <c:pt idx="47">
                  <c:v>44919</c:v>
                </c:pt>
                <c:pt idx="48">
                  <c:v>44920</c:v>
                </c:pt>
                <c:pt idx="49">
                  <c:v>44921</c:v>
                </c:pt>
                <c:pt idx="50">
                  <c:v>44922</c:v>
                </c:pt>
                <c:pt idx="51">
                  <c:v>44923</c:v>
                </c:pt>
                <c:pt idx="52">
                  <c:v>44924</c:v>
                </c:pt>
              </c:numCache>
            </c:numRef>
          </c:cat>
          <c:val>
            <c:numRef>
              <c:f>Analysis!$B$36:$B$88</c:f>
              <c:numCache>
                <c:formatCode>General</c:formatCode>
                <c:ptCount val="53"/>
                <c:pt idx="0">
                  <c:v>5200.002300000001</c:v>
                </c:pt>
                <c:pt idx="1">
                  <c:v>12400.073100000001</c:v>
                </c:pt>
                <c:pt idx="2">
                  <c:v>14200.0386</c:v>
                </c:pt>
                <c:pt idx="3">
                  <c:v>13200.0426</c:v>
                </c:pt>
                <c:pt idx="4">
                  <c:v>14400.015599999999</c:v>
                </c:pt>
                <c:pt idx="5">
                  <c:v>14000.053500000002</c:v>
                </c:pt>
                <c:pt idx="6">
                  <c:v>27674.4512</c:v>
                </c:pt>
                <c:pt idx="7">
                  <c:v>17839.3445</c:v>
                </c:pt>
                <c:pt idx="8">
                  <c:v>13600.0305</c:v>
                </c:pt>
                <c:pt idx="9">
                  <c:v>13600.0305</c:v>
                </c:pt>
                <c:pt idx="10">
                  <c:v>14000.053500000002</c:v>
                </c:pt>
                <c:pt idx="11">
                  <c:v>14400.111399999998</c:v>
                </c:pt>
                <c:pt idx="12">
                  <c:v>14000.019400000001</c:v>
                </c:pt>
                <c:pt idx="13">
                  <c:v>8200.0466</c:v>
                </c:pt>
                <c:pt idx="14">
                  <c:v>14000.0838</c:v>
                </c:pt>
                <c:pt idx="15">
                  <c:v>13599.9918</c:v>
                </c:pt>
                <c:pt idx="16">
                  <c:v>13800.037800000002</c:v>
                </c:pt>
                <c:pt idx="17">
                  <c:v>13600.0259</c:v>
                </c:pt>
                <c:pt idx="18">
                  <c:v>13399.979900000002</c:v>
                </c:pt>
                <c:pt idx="19">
                  <c:v>13200.0638</c:v>
                </c:pt>
                <c:pt idx="20">
                  <c:v>13399.979900000002</c:v>
                </c:pt>
                <c:pt idx="21">
                  <c:v>13400.045399999999</c:v>
                </c:pt>
                <c:pt idx="22">
                  <c:v>13400.045399999999</c:v>
                </c:pt>
                <c:pt idx="23">
                  <c:v>13600.091400000001</c:v>
                </c:pt>
                <c:pt idx="24">
                  <c:v>13400.114400000002</c:v>
                </c:pt>
                <c:pt idx="25">
                  <c:v>14000.053500000002</c:v>
                </c:pt>
                <c:pt idx="26">
                  <c:v>14000.053500000002</c:v>
                </c:pt>
                <c:pt idx="27">
                  <c:v>9000.100699999999</c:v>
                </c:pt>
                <c:pt idx="28">
                  <c:v>14200.0386</c:v>
                </c:pt>
                <c:pt idx="29">
                  <c:v>14000.122500000001</c:v>
                </c:pt>
                <c:pt idx="30">
                  <c:v>14000.053500000002</c:v>
                </c:pt>
                <c:pt idx="31">
                  <c:v>14200.0995</c:v>
                </c:pt>
                <c:pt idx="32">
                  <c:v>14600.0616</c:v>
                </c:pt>
                <c:pt idx="33">
                  <c:v>14600.0616</c:v>
                </c:pt>
                <c:pt idx="34">
                  <c:v>15000.0881</c:v>
                </c:pt>
                <c:pt idx="35">
                  <c:v>14600.0616</c:v>
                </c:pt>
                <c:pt idx="36">
                  <c:v>14600.0616</c:v>
                </c:pt>
                <c:pt idx="37">
                  <c:v>14600.010600000001</c:v>
                </c:pt>
                <c:pt idx="38">
                  <c:v>14400.0945</c:v>
                </c:pt>
                <c:pt idx="39">
                  <c:v>15000.037099999998</c:v>
                </c:pt>
                <c:pt idx="40">
                  <c:v>15400.095000000001</c:v>
                </c:pt>
                <c:pt idx="41">
                  <c:v>15600.0111</c:v>
                </c:pt>
                <c:pt idx="42">
                  <c:v>15799.961299999999</c:v>
                </c:pt>
                <c:pt idx="43">
                  <c:v>16000.007300000001</c:v>
                </c:pt>
                <c:pt idx="44">
                  <c:v>16399.9694</c:v>
                </c:pt>
                <c:pt idx="45">
                  <c:v>16599.9644</c:v>
                </c:pt>
                <c:pt idx="46">
                  <c:v>16000.021800000002</c:v>
                </c:pt>
                <c:pt idx="47">
                  <c:v>16399.983900000003</c:v>
                </c:pt>
                <c:pt idx="48">
                  <c:v>16599.978900000002</c:v>
                </c:pt>
                <c:pt idx="49">
                  <c:v>17000.019900000003</c:v>
                </c:pt>
                <c:pt idx="50">
                  <c:v>17000.019900000003</c:v>
                </c:pt>
                <c:pt idx="51">
                  <c:v>17599.977</c:v>
                </c:pt>
                <c:pt idx="52">
                  <c:v>16800.077999999998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marker val="0"/>
        <c:smooth val="0"/>
        <c:axId val="1001"/>
        <c:axId val="1002"/>
      </c:lineChart>
      <c:catAx>
        <c:axId val="1001"/>
        <c:scaling>
          <c:orientation val="minMax"/>
        </c:scaling>
        <c:delete val="0"/>
        <c:axPos val="b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002"/>
        <c:crosses val="autoZero"/>
        <c:auto val="1"/>
        <c:lblAlgn val="ctr"/>
        <c:lblOffset val="100"/>
        <c:noMultiLvlLbl val="0"/>
      </c:catAx>
      <c:valAx>
        <c:axId val="100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00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2428874" y="6153149"/>
      <a:ext cx="4714875" cy="28384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/>
  </cs:axisTitle>
  <cs:categoryAxis>
    <cs:lnRef idx="0"/>
    <cs:fillRef idx="0"/>
    <cs:effectRef idx="0"/>
    <cs:fontRef idx="minor">
      <a:schemeClr val="tx2"/>
    </cs:fontRef>
    <cs:spPr bwMode="auto">
      <a:prstGeom prst="rect">
        <a:avLst/>
      </a:prstGeom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2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2"/>
    </cs:fontRef>
    <cs:defRPr sz="900"/>
  </cs:dataLabel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 bwMode="auto">
      <a:prstGeom prst="rect">
        <a:avLst/>
      </a:prstGeom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 bwMode="auto">
      <a:prstGeom prst="rect">
        <a:avLst/>
      </a:prstGeom>
      <a:ln w="12700">
        <a:solidFill>
          <a:schemeClr val="lt2"/>
        </a:solidFill>
        <a:round/>
      </a:ln>
    </cs:spPr>
  </cs:dataPointMarker>
  <cs:dataPointWireframe>
    <cs:lnRef idx="0">
      <cs:styleClr val="auto"/>
    </cs:lnRef>
    <cs:fillRef idx="3"/>
    <cs:effectRef idx="2"/>
    <cs:fontRef idx="minor">
      <a:schemeClr val="tx2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 bwMode="auto">
      <a:prstGeom prst="rect">
        <a:avLst/>
      </a:prstGeom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 bwMode="auto">
      <a:prstGeom prst="rect">
        <a:avLst/>
      </a:prstGeom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 bwMode="auto">
      <a:prstGeom prst="rect">
        <a:avLst/>
      </a:prstGeom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/>
  </cs:title>
  <cs:trendline>
    <cs:lnRef idx="0">
      <cs:styleClr val="auto"/>
    </cs:lnRef>
    <cs:fillRef idx="0"/>
    <cs:effectRef idx="0"/>
    <cs:fontRef idx="minor">
      <a:schemeClr val="tx2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/>
  </cs:trendlineLabel>
  <cs:upBar>
    <cs:lnRef idx="0"/>
    <cs:fillRef idx="0"/>
    <cs:effectRef idx="0"/>
    <cs:fontRef idx="minor">
      <a:schemeClr val="tx2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/>
  </cs:valueAxis>
  <cs:wall>
    <cs:lnRef idx="0"/>
    <cs:fillRef idx="0"/>
    <cs:effectRef idx="0"/>
    <cs:fontRef idx="minor">
      <a:schemeClr val="tx2"/>
    </cs:fontRef>
  </cs:wall>
  <cs:dataPointMarkerLayout symbol="circle" size="6"/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 b="1"/>
  </cs:dataLabel>
  <cs:dataPoint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lt1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cap="all" spc="49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6"/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/>
  </cs:axisTitle>
  <cs:categoryAxis>
    <cs:lnRef idx="0"/>
    <cs:fillRef idx="0"/>
    <cs:effectRef idx="0"/>
    <cs:fontRef idx="minor">
      <a:schemeClr val="tx2"/>
    </cs:fontRef>
    <cs:spPr bwMode="auto">
      <a:prstGeom prst="rect">
        <a:avLst/>
      </a:prstGeom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2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2"/>
    </cs:fontRef>
    <cs:defRPr sz="900"/>
  </cs:dataLabel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 bwMode="auto">
      <a:prstGeom prst="rect">
        <a:avLst/>
      </a:prstGeom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 bwMode="auto">
      <a:prstGeom prst="rect">
        <a:avLst/>
      </a:prstGeom>
      <a:ln w="12700">
        <a:solidFill>
          <a:schemeClr val="lt2"/>
        </a:solidFill>
        <a:round/>
      </a:ln>
    </cs:spPr>
  </cs:dataPointMarker>
  <cs:dataPointWireframe>
    <cs:lnRef idx="0">
      <cs:styleClr val="auto"/>
    </cs:lnRef>
    <cs:fillRef idx="3"/>
    <cs:effectRef idx="2"/>
    <cs:fontRef idx="minor">
      <a:schemeClr val="tx2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 bwMode="auto">
      <a:prstGeom prst="rect">
        <a:avLst/>
      </a:prstGeom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 bwMode="auto">
      <a:prstGeom prst="rect">
        <a:avLst/>
      </a:prstGeom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 bwMode="auto">
      <a:prstGeom prst="rect">
        <a:avLst/>
      </a:prstGeom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/>
  </cs:title>
  <cs:trendline>
    <cs:lnRef idx="0">
      <cs:styleClr val="auto"/>
    </cs:lnRef>
    <cs:fillRef idx="0"/>
    <cs:effectRef idx="0"/>
    <cs:fontRef idx="minor">
      <a:schemeClr val="tx2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/>
  </cs:trendlineLabel>
  <cs:upBar>
    <cs:lnRef idx="0"/>
    <cs:fillRef idx="0"/>
    <cs:effectRef idx="0"/>
    <cs:fontRef idx="minor">
      <a:schemeClr val="tx2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/>
  </cs:valueAxis>
  <cs:wall>
    <cs:lnRef idx="0"/>
    <cs:fillRef idx="0"/>
    <cs:effectRef idx="0"/>
    <cs:fontRef idx="minor">
      <a:schemeClr val="tx2"/>
    </cs:fontRef>
  </cs:wall>
  <cs:dataPointMarkerLayout symbol="circle" size="6"/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 b="1"/>
  </cs:dataLabel>
  <cs:dataPoint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lt1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cap="all" spc="49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6"/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2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 bwMode="auto">
      <a:prstGeom prst="rect">
        <a:avLst/>
      </a:prstGeom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 bwMode="auto">
      <a:prstGeom prst="rect">
        <a:avLst/>
      </a:prstGeom>
      <a:ln w="9525">
        <a:solidFill>
          <a:schemeClr val="phClr"/>
        </a:solidFill>
        <a:round/>
      </a:ln>
    </cs:spPr>
  </cs:dataPointMarker>
  <cs:dataPointWireframe>
    <cs:lnRef idx="0">
      <cs:styleClr val="auto"/>
    </cs:lnRef>
    <cs:fillRef idx="3"/>
    <cs:effectRef idx="3"/>
    <cs:fontRef idx="minor">
      <a:schemeClr val="lt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lt1"/>
    </cs:fontRef>
  </cs:wall>
  <cs:dataPointMarkerLayout symbol="circle" size="6"/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hyperlink" Target="#Analysis!A1" TargetMode="External"/><Relationship Id="rId8" Type="http://schemas.openxmlformats.org/officeDocument/2006/relationships/hyperlink" Target="#RAW_Data!A1" TargetMode="External"/><Relationship Id="rId9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7.xml" /><Relationship Id="rId2" Type="http://schemas.openxmlformats.org/officeDocument/2006/relationships/hyperlink" Target="#Dashboard!A1" TargetMode="External"/><Relationship Id="rId3" Type="http://schemas.openxmlformats.org/officeDocument/2006/relationships/hyperlink" Target="#RAW_Data!A1" TargetMode="External"/><Relationship Id="rId4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hyperlink" Target="#Dashboard!A1" TargetMode="External"/><Relationship Id="rId2" Type="http://schemas.openxmlformats.org/officeDocument/2006/relationships/hyperlink" Target="#Analysis!A1" TargetMode="External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20</xdr:col>
      <xdr:colOff>123824</xdr:colOff>
      <xdr:row>24</xdr:row>
      <xdr:rowOff>114299</xdr:rowOff>
    </xdr:from>
    <xdr:to>
      <xdr:col>26</xdr:col>
      <xdr:colOff>533399</xdr:colOff>
      <xdr:row>37</xdr:row>
      <xdr:rowOff>76199</xdr:rowOff>
    </xdr:to>
    <xdr:sp>
      <xdr:nvSpPr>
        <xdr:cNvPr id="2060123202" name=""/>
        <xdr:cNvSpPr/>
      </xdr:nvSpPr>
      <xdr:spPr bwMode="auto">
        <a:xfrm rot="0" flipH="0" flipV="0">
          <a:off x="11801474" y="4410074"/>
          <a:ext cx="3952874" cy="2314574"/>
        </a:xfrm>
        <a:prstGeom prst="flowChartAlternateProcess">
          <a:avLst/>
        </a:prstGeom>
        <a:solidFill>
          <a:srgbClr val="FFB57D"/>
        </a:solidFill>
        <a:ln w="25400">
          <a:solidFill>
            <a:srgbClr val="A8208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twoCell">
    <xdr:from>
      <xdr:col>20</xdr:col>
      <xdr:colOff>133349</xdr:colOff>
      <xdr:row>6</xdr:row>
      <xdr:rowOff>19049</xdr:rowOff>
    </xdr:from>
    <xdr:to>
      <xdr:col>26</xdr:col>
      <xdr:colOff>533399</xdr:colOff>
      <xdr:row>24</xdr:row>
      <xdr:rowOff>9524</xdr:rowOff>
    </xdr:to>
    <xdr:sp>
      <xdr:nvSpPr>
        <xdr:cNvPr id="1522781007" name=""/>
        <xdr:cNvSpPr/>
      </xdr:nvSpPr>
      <xdr:spPr bwMode="auto">
        <a:xfrm rot="0" flipH="0" flipV="0">
          <a:off x="11810999" y="1057275"/>
          <a:ext cx="3943349" cy="3248024"/>
        </a:xfrm>
        <a:prstGeom prst="flowChartAlternateProcess">
          <a:avLst/>
        </a:prstGeom>
        <a:solidFill>
          <a:srgbClr val="FFC496"/>
        </a:solidFill>
        <a:ln w="25400">
          <a:solidFill>
            <a:srgbClr val="A8208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twoCell">
    <xdr:from>
      <xdr:col>13</xdr:col>
      <xdr:colOff>123824</xdr:colOff>
      <xdr:row>6</xdr:row>
      <xdr:rowOff>9524</xdr:rowOff>
    </xdr:from>
    <xdr:to>
      <xdr:col>19</xdr:col>
      <xdr:colOff>600074</xdr:colOff>
      <xdr:row>24</xdr:row>
      <xdr:rowOff>9524</xdr:rowOff>
    </xdr:to>
    <xdr:sp>
      <xdr:nvSpPr>
        <xdr:cNvPr id="216835907" name=""/>
        <xdr:cNvSpPr/>
      </xdr:nvSpPr>
      <xdr:spPr bwMode="auto">
        <a:xfrm rot="0" flipH="0" flipV="0">
          <a:off x="7648574" y="1047749"/>
          <a:ext cx="4019549" cy="3257549"/>
        </a:xfrm>
        <a:prstGeom prst="flowChartAlternateProcess">
          <a:avLst/>
        </a:prstGeom>
        <a:solidFill>
          <a:srgbClr val="FFC496"/>
        </a:solidFill>
        <a:ln w="25400">
          <a:solidFill>
            <a:srgbClr val="A8208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twoCell">
    <xdr:from>
      <xdr:col>6</xdr:col>
      <xdr:colOff>114299</xdr:colOff>
      <xdr:row>6</xdr:row>
      <xdr:rowOff>9524</xdr:rowOff>
    </xdr:from>
    <xdr:to>
      <xdr:col>12</xdr:col>
      <xdr:colOff>590548</xdr:colOff>
      <xdr:row>24</xdr:row>
      <xdr:rowOff>9524</xdr:rowOff>
    </xdr:to>
    <xdr:sp>
      <xdr:nvSpPr>
        <xdr:cNvPr id="1600024644" name=""/>
        <xdr:cNvSpPr/>
      </xdr:nvSpPr>
      <xdr:spPr bwMode="auto">
        <a:xfrm rot="0" flipH="0" flipV="0">
          <a:off x="3486149" y="1047749"/>
          <a:ext cx="4019548" cy="3257549"/>
        </a:xfrm>
        <a:prstGeom prst="flowChartAlternateProcess">
          <a:avLst/>
        </a:prstGeom>
        <a:solidFill>
          <a:srgbClr val="FFC496"/>
        </a:solidFill>
        <a:ln w="25400">
          <a:solidFill>
            <a:srgbClr val="A8208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twoCell">
    <xdr:from>
      <xdr:col>6</xdr:col>
      <xdr:colOff>104775</xdr:colOff>
      <xdr:row>24</xdr:row>
      <xdr:rowOff>115123</xdr:rowOff>
    </xdr:from>
    <xdr:to>
      <xdr:col>12</xdr:col>
      <xdr:colOff>581023</xdr:colOff>
      <xdr:row>42</xdr:row>
      <xdr:rowOff>38099</xdr:rowOff>
    </xdr:to>
    <xdr:sp>
      <xdr:nvSpPr>
        <xdr:cNvPr id="1487232736" name=""/>
        <xdr:cNvSpPr/>
      </xdr:nvSpPr>
      <xdr:spPr bwMode="auto">
        <a:xfrm rot="0" flipH="0" flipV="0">
          <a:off x="3476625" y="4410899"/>
          <a:ext cx="4019547" cy="3180524"/>
        </a:xfrm>
        <a:prstGeom prst="flowChartAlternateProcess">
          <a:avLst/>
        </a:prstGeom>
        <a:solidFill>
          <a:srgbClr val="FFB57D"/>
        </a:solidFill>
        <a:ln w="25400">
          <a:solidFill>
            <a:srgbClr val="A8208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twoCell">
    <xdr:from>
      <xdr:col>13</xdr:col>
      <xdr:colOff>123823</xdr:colOff>
      <xdr:row>24</xdr:row>
      <xdr:rowOff>115123</xdr:rowOff>
    </xdr:from>
    <xdr:to>
      <xdr:col>19</xdr:col>
      <xdr:colOff>600073</xdr:colOff>
      <xdr:row>37</xdr:row>
      <xdr:rowOff>76198</xdr:rowOff>
    </xdr:to>
    <xdr:sp>
      <xdr:nvSpPr>
        <xdr:cNvPr id="254893518" name=""/>
        <xdr:cNvSpPr/>
      </xdr:nvSpPr>
      <xdr:spPr bwMode="auto">
        <a:xfrm rot="0" flipH="0" flipV="0">
          <a:off x="7648573" y="4410898"/>
          <a:ext cx="4019549" cy="2313749"/>
        </a:xfrm>
        <a:prstGeom prst="flowChartAlternateProcess">
          <a:avLst/>
        </a:prstGeom>
        <a:solidFill>
          <a:srgbClr val="FFB57D"/>
        </a:solidFill>
        <a:ln w="25400">
          <a:solidFill>
            <a:srgbClr val="A8208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twoCell">
    <xdr:from>
      <xdr:col>20</xdr:col>
      <xdr:colOff>133349</xdr:colOff>
      <xdr:row>5</xdr:row>
      <xdr:rowOff>169798</xdr:rowOff>
    </xdr:from>
    <xdr:to>
      <xdr:col>26</xdr:col>
      <xdr:colOff>542924</xdr:colOff>
      <xdr:row>23</xdr:row>
      <xdr:rowOff>174561</xdr:rowOff>
    </xdr:to>
    <xdr:graphicFrame>
      <xdr:nvGraphicFramePr>
        <xdr:cNvPr id="514786011" name=""/>
        <xdr:cNvGraphicFramePr>
          <a:graphicFrameLocks xmlns:a="http://schemas.openxmlformats.org/drawingml/2006/main"/>
        </xdr:cNvGraphicFramePr>
      </xdr:nvGraphicFramePr>
      <xdr:xfrm rot="0">
        <a:off x="11810999" y="1027048"/>
        <a:ext cx="3952874" cy="3262312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14</xdr:col>
      <xdr:colOff>23698</xdr:colOff>
      <xdr:row>24</xdr:row>
      <xdr:rowOff>106742</xdr:rowOff>
    </xdr:from>
    <xdr:to>
      <xdr:col>19</xdr:col>
      <xdr:colOff>609598</xdr:colOff>
      <xdr:row>37</xdr:row>
      <xdr:rowOff>76198</xdr:rowOff>
    </xdr:to>
    <xdr:graphicFrame>
      <xdr:nvGraphicFramePr>
        <xdr:cNvPr id="1328375733" name=""/>
        <xdr:cNvGraphicFramePr>
          <a:graphicFrameLocks xmlns:a="http://schemas.openxmlformats.org/drawingml/2006/main"/>
        </xdr:cNvGraphicFramePr>
      </xdr:nvGraphicFramePr>
      <xdr:xfrm rot="0">
        <a:off x="7681798" y="4402517"/>
        <a:ext cx="3995849" cy="23221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6</xdr:col>
      <xdr:colOff>123447</xdr:colOff>
      <xdr:row>24</xdr:row>
      <xdr:rowOff>115123</xdr:rowOff>
    </xdr:from>
    <xdr:to>
      <xdr:col>12</xdr:col>
      <xdr:colOff>590548</xdr:colOff>
      <xdr:row>42</xdr:row>
      <xdr:rowOff>38099</xdr:rowOff>
    </xdr:to>
    <xdr:graphicFrame>
      <xdr:nvGraphicFramePr>
        <xdr:cNvPr id="1996957110" name=""/>
        <xdr:cNvGraphicFramePr>
          <a:graphicFrameLocks xmlns:a="http://schemas.openxmlformats.org/drawingml/2006/main"/>
        </xdr:cNvGraphicFramePr>
      </xdr:nvGraphicFramePr>
      <xdr:xfrm rot="0">
        <a:off x="3495298" y="4401374"/>
        <a:ext cx="4010399" cy="318052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twoCell">
    <xdr:from>
      <xdr:col>20</xdr:col>
      <xdr:colOff>123824</xdr:colOff>
      <xdr:row>24</xdr:row>
      <xdr:rowOff>98361</xdr:rowOff>
    </xdr:from>
    <xdr:to>
      <xdr:col>26</xdr:col>
      <xdr:colOff>542924</xdr:colOff>
      <xdr:row>37</xdr:row>
      <xdr:rowOff>59436</xdr:rowOff>
    </xdr:to>
    <xdr:graphicFrame>
      <xdr:nvGraphicFramePr>
        <xdr:cNvPr id="770799638" name=""/>
        <xdr:cNvGraphicFramePr>
          <a:graphicFrameLocks xmlns:a="http://schemas.openxmlformats.org/drawingml/2006/main"/>
        </xdr:cNvGraphicFramePr>
      </xdr:nvGraphicFramePr>
      <xdr:xfrm rot="0">
        <a:off x="11801474" y="4394136"/>
        <a:ext cx="3962399" cy="23137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twoCell">
    <xdr:from>
      <xdr:col>13</xdr:col>
      <xdr:colOff>131699</xdr:colOff>
      <xdr:row>6</xdr:row>
      <xdr:rowOff>4760</xdr:rowOff>
    </xdr:from>
    <xdr:to>
      <xdr:col>19</xdr:col>
      <xdr:colOff>609599</xdr:colOff>
      <xdr:row>23</xdr:row>
      <xdr:rowOff>175386</xdr:rowOff>
    </xdr:to>
    <xdr:graphicFrame>
      <xdr:nvGraphicFramePr>
        <xdr:cNvPr id="170535532" name=""/>
        <xdr:cNvGraphicFramePr>
          <a:graphicFrameLocks xmlns:a="http://schemas.openxmlformats.org/drawingml/2006/main"/>
        </xdr:cNvGraphicFramePr>
      </xdr:nvGraphicFramePr>
      <xdr:xfrm rot="0">
        <a:off x="7656449" y="1042986"/>
        <a:ext cx="4021200" cy="324719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twoCell">
    <xdr:from>
      <xdr:col>6</xdr:col>
      <xdr:colOff>123824</xdr:colOff>
      <xdr:row>6</xdr:row>
      <xdr:rowOff>19049</xdr:rowOff>
    </xdr:from>
    <xdr:to>
      <xdr:col>12</xdr:col>
      <xdr:colOff>590548</xdr:colOff>
      <xdr:row>24</xdr:row>
      <xdr:rowOff>9524</xdr:rowOff>
    </xdr:to>
    <xdr:graphicFrame>
      <xdr:nvGraphicFramePr>
        <xdr:cNvPr id="2122394951" name=""/>
        <xdr:cNvGraphicFramePr>
          <a:graphicFrameLocks xmlns:a="http://schemas.openxmlformats.org/drawingml/2006/main"/>
        </xdr:cNvGraphicFramePr>
      </xdr:nvGraphicFramePr>
      <xdr:xfrm rot="0">
        <a:off x="3495674" y="1047749"/>
        <a:ext cx="4010023" cy="324802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twoCell">
    <xdr:from>
      <xdr:col>27</xdr:col>
      <xdr:colOff>47623</xdr:colOff>
      <xdr:row>0</xdr:row>
      <xdr:rowOff>114299</xdr:rowOff>
    </xdr:from>
    <xdr:to>
      <xdr:col>29</xdr:col>
      <xdr:colOff>47623</xdr:colOff>
      <xdr:row>42</xdr:row>
      <xdr:rowOff>38099</xdr:rowOff>
    </xdr:to>
    <xdr:sp>
      <xdr:nvSpPr>
        <xdr:cNvPr id="1523822240" name=""/>
        <xdr:cNvSpPr/>
      </xdr:nvSpPr>
      <xdr:spPr bwMode="auto">
        <a:xfrm rot="0" flipH="0" flipV="0">
          <a:off x="15878174" y="114299"/>
          <a:ext cx="1219199" cy="7477124"/>
        </a:xfrm>
        <a:prstGeom prst="rect">
          <a:avLst/>
        </a:prstGeom>
        <a:solidFill>
          <a:srgbClr val="00206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twoCell">
    <xdr:from>
      <xdr:col>0</xdr:col>
      <xdr:colOff>123824</xdr:colOff>
      <xdr:row>0</xdr:row>
      <xdr:rowOff>28574</xdr:rowOff>
    </xdr:from>
    <xdr:to>
      <xdr:col>5</xdr:col>
      <xdr:colOff>609599</xdr:colOff>
      <xdr:row>42</xdr:row>
      <xdr:rowOff>95249</xdr:rowOff>
    </xdr:to>
    <xdr:sp>
      <xdr:nvSpPr>
        <xdr:cNvPr id="1259940837" name=""/>
        <xdr:cNvSpPr/>
      </xdr:nvSpPr>
      <xdr:spPr bwMode="auto">
        <a:xfrm rot="0" flipH="0" flipV="0">
          <a:off x="123824" y="28574"/>
          <a:ext cx="3248024" cy="7619999"/>
        </a:xfrm>
        <a:prstGeom prst="flowChartAlternateProcess">
          <a:avLst/>
        </a:prstGeom>
        <a:gradFill>
          <a:gsLst>
            <a:gs pos="0">
              <a:srgbClr val="FFB57D"/>
            </a:gs>
            <a:gs pos="71000">
              <a:srgbClr val="FFE7D4"/>
            </a:gs>
          </a:gsLst>
          <a:lin ang="16200000" scaled="1"/>
        </a:gradFill>
        <a:ln w="25400">
          <a:solidFill>
            <a:srgbClr val="B91E82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 lIns="91440" tIns="45720" rIns="91440" bIns="45720" numCol="1" spcCol="0" rtlCol="0" fromWordArt="0" anchor="ctr" anchorCtr="0" forceAA="0" upright="0" compatLnSpc="0"/>
        <a:p>
          <a:pPr algn="ctr">
            <a:defRPr/>
          </a:pPr>
          <a:r>
            <a:rPr sz="4800">
              <a:solidFill>
                <a:schemeClr val="tx2">
                  <a:lumMod val="75000"/>
                </a:schemeClr>
              </a:solidFill>
              <a:latin typeface="Z003"/>
              <a:ea typeface="Z003"/>
              <a:cs typeface="Z003"/>
            </a:rPr>
            <a:t>Restaurant</a:t>
          </a:r>
          <a:endParaRPr sz="4800">
            <a:solidFill>
              <a:schemeClr val="tx2">
                <a:lumMod val="75000"/>
              </a:schemeClr>
            </a:solidFill>
            <a:latin typeface="Z003"/>
            <a:ea typeface="Z003"/>
            <a:cs typeface="Z003"/>
          </a:endParaRPr>
        </a:p>
        <a:p>
          <a:pPr algn="ctr">
            <a:defRPr/>
          </a:pPr>
          <a:r>
            <a:rPr sz="4800">
              <a:solidFill>
                <a:schemeClr val="tx2">
                  <a:lumMod val="75000"/>
                </a:schemeClr>
              </a:solidFill>
              <a:latin typeface="Z003"/>
              <a:ea typeface="Z003"/>
              <a:cs typeface="Z003"/>
            </a:rPr>
            <a:t>Sales Data</a:t>
          </a:r>
          <a:endParaRPr sz="4800">
            <a:solidFill>
              <a:schemeClr val="tx2">
                <a:lumMod val="75000"/>
              </a:schemeClr>
            </a:solidFill>
            <a:latin typeface="Z003"/>
            <a:cs typeface="Z003"/>
          </a:endParaRPr>
        </a:p>
      </xdr:txBody>
    </xdr:sp>
    <xdr:clientData/>
  </xdr:twoCellAnchor>
  <xdr:twoCellAnchor editAs="twoCell">
    <xdr:from>
      <xdr:col>6</xdr:col>
      <xdr:colOff>123824</xdr:colOff>
      <xdr:row>0</xdr:row>
      <xdr:rowOff>114299</xdr:rowOff>
    </xdr:from>
    <xdr:to>
      <xdr:col>12</xdr:col>
      <xdr:colOff>609599</xdr:colOff>
      <xdr:row>4</xdr:row>
      <xdr:rowOff>180974</xdr:rowOff>
    </xdr:to>
    <xdr:sp>
      <xdr:nvSpPr>
        <xdr:cNvPr id="500351237" name=""/>
        <xdr:cNvSpPr/>
      </xdr:nvSpPr>
      <xdr:spPr bwMode="auto">
        <a:xfrm rot="0" flipH="0" flipV="0">
          <a:off x="3324223" y="114299"/>
          <a:ext cx="4029074" cy="733424"/>
        </a:xfrm>
        <a:prstGeom prst="flowChartAlternateProcess">
          <a:avLst/>
        </a:prstGeom>
        <a:noFill/>
        <a:ln w="25400">
          <a:solidFill>
            <a:srgbClr val="B91E82"/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twoCell">
    <xdr:from>
      <xdr:col>13</xdr:col>
      <xdr:colOff>133349</xdr:colOff>
      <xdr:row>0</xdr:row>
      <xdr:rowOff>114299</xdr:rowOff>
    </xdr:from>
    <xdr:to>
      <xdr:col>19</xdr:col>
      <xdr:colOff>609599</xdr:colOff>
      <xdr:row>4</xdr:row>
      <xdr:rowOff>171449</xdr:rowOff>
    </xdr:to>
    <xdr:sp>
      <xdr:nvSpPr>
        <xdr:cNvPr id="787707686" name=""/>
        <xdr:cNvSpPr/>
      </xdr:nvSpPr>
      <xdr:spPr bwMode="auto">
        <a:xfrm rot="0" flipH="0" flipV="0">
          <a:off x="7486649" y="114299"/>
          <a:ext cx="4019549" cy="723899"/>
        </a:xfrm>
        <a:prstGeom prst="flowChartAlternateProcess">
          <a:avLst/>
        </a:prstGeom>
        <a:noFill/>
        <a:ln w="25400">
          <a:solidFill>
            <a:srgbClr val="AD2080"/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twoCell">
    <xdr:from>
      <xdr:col>20</xdr:col>
      <xdr:colOff>123824</xdr:colOff>
      <xdr:row>0</xdr:row>
      <xdr:rowOff>104774</xdr:rowOff>
    </xdr:from>
    <xdr:to>
      <xdr:col>26</xdr:col>
      <xdr:colOff>542924</xdr:colOff>
      <xdr:row>4</xdr:row>
      <xdr:rowOff>161924</xdr:rowOff>
    </xdr:to>
    <xdr:sp>
      <xdr:nvSpPr>
        <xdr:cNvPr id="2043217826" name=""/>
        <xdr:cNvSpPr/>
      </xdr:nvSpPr>
      <xdr:spPr bwMode="auto">
        <a:xfrm rot="0" flipH="0" flipV="0">
          <a:off x="11801474" y="104774"/>
          <a:ext cx="3962399" cy="733424"/>
        </a:xfrm>
        <a:prstGeom prst="flowChartAlternateProcess">
          <a:avLst/>
        </a:prstGeom>
        <a:noFill/>
        <a:ln w="25400">
          <a:solidFill>
            <a:srgbClr val="A82080"/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twoCell">
    <xdr:from>
      <xdr:col>26</xdr:col>
      <xdr:colOff>609597</xdr:colOff>
      <xdr:row>9</xdr:row>
      <xdr:rowOff>4762</xdr:rowOff>
    </xdr:from>
    <xdr:to>
      <xdr:col>27</xdr:col>
      <xdr:colOff>428623</xdr:colOff>
      <xdr:row>15</xdr:row>
      <xdr:rowOff>100012</xdr:rowOff>
    </xdr:to>
    <xdr:sp>
      <xdr:nvSpPr>
        <xdr:cNvPr id="1495425929" name=""/>
        <xdr:cNvSpPr/>
      </xdr:nvSpPr>
      <xdr:spPr bwMode="auto">
        <a:xfrm rot="5400000" flipH="0" flipV="0">
          <a:off x="15454310" y="1962149"/>
          <a:ext cx="1181099" cy="428624"/>
        </a:xfrm>
        <a:prstGeom prst="snip2SameRect">
          <a:avLst>
            <a:gd name="adj1" fmla="val 16667"/>
            <a:gd name="adj2" fmla="val 0"/>
          </a:avLst>
        </a:prstGeom>
        <a:solidFill>
          <a:srgbClr val="FDE9D9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 lIns="91440" tIns="45720" rIns="91440" bIns="45720" numCol="1" spcCol="0" rtlCol="0" fromWordArt="0" anchor="ctr" anchorCtr="0" forceAA="0" upright="0" compatLnSpc="0"/>
        <a:p>
          <a:pPr algn="ctr">
            <a:defRPr/>
          </a:pPr>
          <a:r>
            <a:rPr sz="1600">
              <a:solidFill>
                <a:schemeClr val="tx2"/>
              </a:solidFill>
              <a:latin typeface="Calibri"/>
              <a:ea typeface="Calibri"/>
              <a:cs typeface="Calibri"/>
            </a:rPr>
            <a:t>Dashboard</a:t>
          </a:r>
          <a:endParaRPr sz="1800">
            <a:solidFill>
              <a:schemeClr val="tx2"/>
            </a:solidFill>
            <a:latin typeface="Calibri"/>
            <a:cs typeface="Calibri"/>
          </a:endParaRPr>
        </a:p>
      </xdr:txBody>
    </xdr:sp>
    <xdr:clientData/>
  </xdr:twoCellAnchor>
  <xdr:twoCellAnchor editAs="twoCell">
    <xdr:from>
      <xdr:col>27</xdr:col>
      <xdr:colOff>47623</xdr:colOff>
      <xdr:row>18</xdr:row>
      <xdr:rowOff>95249</xdr:rowOff>
    </xdr:from>
    <xdr:to>
      <xdr:col>27</xdr:col>
      <xdr:colOff>476248</xdr:colOff>
      <xdr:row>25</xdr:row>
      <xdr:rowOff>9523</xdr:rowOff>
    </xdr:to>
    <xdr:sp>
      <xdr:nvSpPr>
        <xdr:cNvPr id="2132511980" name="">
          <a:hlinkClick r:id="rId7" tooltip=""/>
        </xdr:cNvPr>
        <xdr:cNvSpPr/>
      </xdr:nvSpPr>
      <xdr:spPr bwMode="auto">
        <a:xfrm rot="5400000" flipH="0" flipV="0">
          <a:off x="15501937" y="3681412"/>
          <a:ext cx="1181098" cy="428623"/>
        </a:xfrm>
        <a:prstGeom prst="snip2SameRect">
          <a:avLst>
            <a:gd name="adj1" fmla="val 16667"/>
            <a:gd name="adj2" fmla="val 0"/>
          </a:avLst>
        </a:prstGeom>
        <a:solidFill>
          <a:srgbClr val="00206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 lIns="91440" tIns="45720" rIns="91440" bIns="45720" numCol="1" spcCol="0" rtlCol="0" fromWordArt="0" anchor="ctr" anchorCtr="0" forceAA="0" upright="0" compatLnSpc="0"/>
        <a:p>
          <a:pPr algn="ctr">
            <a:defRPr/>
          </a:pPr>
          <a:r>
            <a:rPr sz="1600"/>
            <a:t>Analysis</a:t>
          </a:r>
          <a:endParaRPr sz="1600"/>
        </a:p>
      </xdr:txBody>
    </xdr:sp>
    <xdr:clientData/>
  </xdr:twoCellAnchor>
  <xdr:twoCellAnchor editAs="twoCell">
    <xdr:from>
      <xdr:col>27</xdr:col>
      <xdr:colOff>52388</xdr:colOff>
      <xdr:row>28</xdr:row>
      <xdr:rowOff>9524</xdr:rowOff>
    </xdr:from>
    <xdr:to>
      <xdr:col>27</xdr:col>
      <xdr:colOff>481012</xdr:colOff>
      <xdr:row>34</xdr:row>
      <xdr:rowOff>104773</xdr:rowOff>
    </xdr:to>
    <xdr:sp>
      <xdr:nvSpPr>
        <xdr:cNvPr id="1931809013" name="">
          <a:hlinkClick r:id="rId8" tooltip=""/>
        </xdr:cNvPr>
        <xdr:cNvSpPr/>
      </xdr:nvSpPr>
      <xdr:spPr bwMode="auto">
        <a:xfrm rot="5400000" flipH="0" flipV="0">
          <a:off x="15506700" y="5405437"/>
          <a:ext cx="1181098" cy="428623"/>
        </a:xfrm>
        <a:prstGeom prst="snip2SameRect">
          <a:avLst>
            <a:gd name="adj1" fmla="val 16667"/>
            <a:gd name="adj2" fmla="val 0"/>
          </a:avLst>
        </a:prstGeom>
        <a:solidFill>
          <a:srgbClr val="00206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 lIns="91440" tIns="45720" rIns="91440" bIns="45720" numCol="1" spcCol="0" rtlCol="0" fromWordArt="0" anchor="ctr" anchorCtr="0" forceAA="0" upright="0" compatLnSpc="0"/>
        <a:p>
          <a:pPr algn="ctr">
            <a:defRPr/>
          </a:pPr>
          <a:r>
            <a:rPr sz="1600"/>
            <a:t>Raw_Data</a:t>
          </a:r>
          <a:endParaRPr sz="1600"/>
        </a:p>
      </xdr:txBody>
    </xdr:sp>
    <xdr:clientData/>
  </xdr:twoCellAnchor>
  <xdr:oneCellAnchor>
    <xdr:from>
      <xdr:col>26</xdr:col>
      <xdr:colOff>595311</xdr:colOff>
      <xdr:row>0</xdr:row>
      <xdr:rowOff>0</xdr:rowOff>
    </xdr:from>
    <xdr:ext cx="1343025" cy="1343025"/>
    <xdr:pic>
      <xdr:nvPicPr>
        <xdr:cNvPr id="1540124603" name=""/>
        <xdr:cNvPicPr>
          <a:picLocks noChangeAspect="1"/>
        </xdr:cNvPicPr>
      </xdr:nvPicPr>
      <xdr:blipFill rotWithShape="1">
        <a:blip r:embed="rId9"/>
        <a:stretch/>
      </xdr:blipFill>
      <xdr:spPr bwMode="auto">
        <a:xfrm flipH="0" flipV="0">
          <a:off x="15816261" y="0"/>
          <a:ext cx="1343025" cy="13430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</xdr:col>
      <xdr:colOff>590549</xdr:colOff>
      <xdr:row>33</xdr:row>
      <xdr:rowOff>180974</xdr:rowOff>
    </xdr:from>
    <xdr:to>
      <xdr:col>9</xdr:col>
      <xdr:colOff>419099</xdr:colOff>
      <xdr:row>49</xdr:row>
      <xdr:rowOff>123824</xdr:rowOff>
    </xdr:to>
    <xdr:graphicFrame>
      <xdr:nvGraphicFramePr>
        <xdr:cNvPr id="153087971" name=""/>
        <xdr:cNvGraphicFramePr>
          <a:graphicFrameLocks xmlns:a="http://schemas.openxmlformats.org/drawingml/2006/main"/>
        </xdr:cNvGraphicFramePr>
      </xdr:nvGraphicFramePr>
      <xdr:xfrm rot="0">
        <a:off x="2428874" y="6153149"/>
        <a:ext cx="4714875" cy="28384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19</xdr:col>
      <xdr:colOff>23814</xdr:colOff>
      <xdr:row>0</xdr:row>
      <xdr:rowOff>76199</xdr:rowOff>
    </xdr:from>
    <xdr:to>
      <xdr:col>21</xdr:col>
      <xdr:colOff>23814</xdr:colOff>
      <xdr:row>42</xdr:row>
      <xdr:rowOff>14286</xdr:rowOff>
    </xdr:to>
    <xdr:sp>
      <xdr:nvSpPr>
        <xdr:cNvPr id="1393388868" name=""/>
        <xdr:cNvSpPr/>
      </xdr:nvSpPr>
      <xdr:spPr bwMode="auto">
        <a:xfrm rot="0" flipH="0" flipV="0">
          <a:off x="15854364" y="76199"/>
          <a:ext cx="1219199" cy="7539036"/>
        </a:xfrm>
        <a:prstGeom prst="rect">
          <a:avLst/>
        </a:prstGeom>
        <a:solidFill>
          <a:srgbClr val="00206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twoCell">
    <xdr:from>
      <xdr:col>18</xdr:col>
      <xdr:colOff>595313</xdr:colOff>
      <xdr:row>8</xdr:row>
      <xdr:rowOff>161924</xdr:rowOff>
    </xdr:from>
    <xdr:to>
      <xdr:col>19</xdr:col>
      <xdr:colOff>414337</xdr:colOff>
      <xdr:row>15</xdr:row>
      <xdr:rowOff>76199</xdr:rowOff>
    </xdr:to>
    <xdr:sp>
      <xdr:nvSpPr>
        <xdr:cNvPr id="1808948024" name="">
          <a:hlinkClick r:id="rId2" tooltip=""/>
        </xdr:cNvPr>
        <xdr:cNvSpPr/>
      </xdr:nvSpPr>
      <xdr:spPr bwMode="auto">
        <a:xfrm rot="5400000" flipH="0" flipV="0">
          <a:off x="15440026" y="1985962"/>
          <a:ext cx="1181098" cy="428623"/>
        </a:xfrm>
        <a:prstGeom prst="snip2SameRect">
          <a:avLst>
            <a:gd name="adj1" fmla="val 16667"/>
            <a:gd name="adj2" fmla="val 0"/>
          </a:avLst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 lIns="91440" tIns="45720" rIns="91440" bIns="45720" numCol="1" spcCol="0" rtlCol="0" fromWordArt="0" anchor="ctr" anchorCtr="0" forceAA="0" upright="0" compatLnSpc="0"/>
        <a:p>
          <a:pPr algn="ctr">
            <a:defRPr/>
          </a:pPr>
          <a:r>
            <a:rPr sz="1600">
              <a:solidFill>
                <a:schemeClr val="bg1"/>
              </a:solidFill>
              <a:latin typeface="Calibri"/>
              <a:ea typeface="Calibri"/>
              <a:cs typeface="Calibri"/>
            </a:rPr>
            <a:t>Dashboard</a:t>
          </a:r>
          <a:endParaRPr sz="1800">
            <a:solidFill>
              <a:schemeClr val="tx2"/>
            </a:solidFill>
            <a:latin typeface="Calibri"/>
            <a:cs typeface="Calibri"/>
          </a:endParaRPr>
        </a:p>
      </xdr:txBody>
    </xdr:sp>
    <xdr:clientData/>
  </xdr:twoCellAnchor>
  <xdr:twoCellAnchor editAs="twoCell">
    <xdr:from>
      <xdr:col>18</xdr:col>
      <xdr:colOff>595314</xdr:colOff>
      <xdr:row>18</xdr:row>
      <xdr:rowOff>71438</xdr:rowOff>
    </xdr:from>
    <xdr:to>
      <xdr:col>19</xdr:col>
      <xdr:colOff>414338</xdr:colOff>
      <xdr:row>24</xdr:row>
      <xdr:rowOff>166687</xdr:rowOff>
    </xdr:to>
    <xdr:sp>
      <xdr:nvSpPr>
        <xdr:cNvPr id="1271435787" name=""/>
        <xdr:cNvSpPr/>
      </xdr:nvSpPr>
      <xdr:spPr bwMode="auto">
        <a:xfrm rot="5400000" flipH="0" flipV="0">
          <a:off x="15440027" y="3705225"/>
          <a:ext cx="1181098" cy="428623"/>
        </a:xfrm>
        <a:prstGeom prst="snip2SameRect">
          <a:avLst>
            <a:gd name="adj1" fmla="val 16667"/>
            <a:gd name="adj2" fmla="val 0"/>
          </a:avLst>
        </a:prstGeom>
        <a:solidFill>
          <a:srgbClr val="FFFF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 lIns="91440" tIns="45720" rIns="91440" bIns="45720" numCol="1" spcCol="0" rtlCol="0" fromWordArt="0" anchor="ctr" anchorCtr="0" forceAA="0" upright="0" compatLnSpc="0"/>
        <a:p>
          <a:pPr algn="ctr">
            <a:defRPr/>
          </a:pPr>
          <a:r>
            <a:rPr sz="1600">
              <a:solidFill>
                <a:srgbClr val="002060"/>
              </a:solidFill>
            </a:rPr>
            <a:t>Analysis</a:t>
          </a:r>
          <a:endParaRPr sz="1600">
            <a:solidFill>
              <a:srgbClr val="002060"/>
            </a:solidFill>
          </a:endParaRPr>
        </a:p>
      </xdr:txBody>
    </xdr:sp>
    <xdr:clientData/>
  </xdr:twoCellAnchor>
  <xdr:twoCellAnchor editAs="twoCell">
    <xdr:from>
      <xdr:col>19</xdr:col>
      <xdr:colOff>38102</xdr:colOff>
      <xdr:row>27</xdr:row>
      <xdr:rowOff>166688</xdr:rowOff>
    </xdr:from>
    <xdr:to>
      <xdr:col>19</xdr:col>
      <xdr:colOff>466725</xdr:colOff>
      <xdr:row>34</xdr:row>
      <xdr:rowOff>80961</xdr:rowOff>
    </xdr:to>
    <xdr:sp>
      <xdr:nvSpPr>
        <xdr:cNvPr id="471023597" name="">
          <a:hlinkClick r:id="rId3" tooltip=""/>
        </xdr:cNvPr>
        <xdr:cNvSpPr/>
      </xdr:nvSpPr>
      <xdr:spPr bwMode="auto">
        <a:xfrm rot="5400000" flipH="0" flipV="0">
          <a:off x="15492415" y="5429250"/>
          <a:ext cx="1181097" cy="428623"/>
        </a:xfrm>
        <a:prstGeom prst="snip2SameRect">
          <a:avLst>
            <a:gd name="adj1" fmla="val 16667"/>
            <a:gd name="adj2" fmla="val 0"/>
          </a:avLst>
        </a:prstGeom>
        <a:solidFill>
          <a:srgbClr val="00206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 lIns="91440" tIns="45720" rIns="91440" bIns="45720" numCol="1" spcCol="0" rtlCol="0" fromWordArt="0" anchor="ctr" anchorCtr="0" forceAA="0" upright="0" compatLnSpc="0"/>
        <a:p>
          <a:pPr algn="ctr">
            <a:defRPr/>
          </a:pPr>
          <a:r>
            <a:rPr sz="1600"/>
            <a:t>Raw_Data</a:t>
          </a:r>
          <a:endParaRPr sz="1600"/>
        </a:p>
      </xdr:txBody>
    </xdr:sp>
    <xdr:clientData/>
  </xdr:twoCellAnchor>
  <xdr:oneCellAnchor>
    <xdr:from>
      <xdr:col>18</xdr:col>
      <xdr:colOff>571501</xdr:colOff>
      <xdr:row>0</xdr:row>
      <xdr:rowOff>0</xdr:rowOff>
    </xdr:from>
    <xdr:ext cx="1343024" cy="1343024"/>
    <xdr:pic>
      <xdr:nvPicPr>
        <xdr:cNvPr id="1584615901" name=""/>
        <xdr:cNvPicPr>
          <a:picLocks noChangeAspect="1"/>
        </xdr:cNvPicPr>
      </xdr:nvPicPr>
      <xdr:blipFill rotWithShape="1">
        <a:blip r:embed="rId4"/>
        <a:stretch/>
      </xdr:blipFill>
      <xdr:spPr bwMode="auto">
        <a:xfrm flipH="0" flipV="0">
          <a:off x="15792451" y="0"/>
          <a:ext cx="1343025" cy="134302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22</xdr:col>
      <xdr:colOff>19049</xdr:colOff>
      <xdr:row>0</xdr:row>
      <xdr:rowOff>104775</xdr:rowOff>
    </xdr:from>
    <xdr:to>
      <xdr:col>23</xdr:col>
      <xdr:colOff>552449</xdr:colOff>
      <xdr:row>41</xdr:row>
      <xdr:rowOff>161924</xdr:rowOff>
    </xdr:to>
    <xdr:sp>
      <xdr:nvSpPr>
        <xdr:cNvPr id="461419249" name=""/>
        <xdr:cNvSpPr/>
      </xdr:nvSpPr>
      <xdr:spPr bwMode="auto">
        <a:xfrm rot="0" flipH="0" flipV="0">
          <a:off x="15868649" y="104775"/>
          <a:ext cx="1219199" cy="7477123"/>
        </a:xfrm>
        <a:prstGeom prst="rect">
          <a:avLst/>
        </a:prstGeom>
        <a:solidFill>
          <a:srgbClr val="00206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twoCell">
    <xdr:from>
      <xdr:col>21</xdr:col>
      <xdr:colOff>666749</xdr:colOff>
      <xdr:row>8</xdr:row>
      <xdr:rowOff>128587</xdr:rowOff>
    </xdr:from>
    <xdr:to>
      <xdr:col>22</xdr:col>
      <xdr:colOff>409573</xdr:colOff>
      <xdr:row>15</xdr:row>
      <xdr:rowOff>42861</xdr:rowOff>
    </xdr:to>
    <xdr:sp>
      <xdr:nvSpPr>
        <xdr:cNvPr id="1288582013" name="">
          <a:hlinkClick r:id="rId1" tooltip=""/>
        </xdr:cNvPr>
        <xdr:cNvSpPr/>
      </xdr:nvSpPr>
      <xdr:spPr bwMode="auto">
        <a:xfrm rot="5400000" flipH="0" flipV="0">
          <a:off x="15454310" y="1952625"/>
          <a:ext cx="1181098" cy="428623"/>
        </a:xfrm>
        <a:prstGeom prst="snip2SameRect">
          <a:avLst>
            <a:gd name="adj1" fmla="val 16667"/>
            <a:gd name="adj2" fmla="val 0"/>
          </a:avLst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 lIns="91440" tIns="45720" rIns="91440" bIns="45720" numCol="1" spcCol="0" rtlCol="0" fromWordArt="0" anchor="ctr" anchorCtr="0" forceAA="0" upright="0" compatLnSpc="0"/>
        <a:p>
          <a:pPr algn="ctr">
            <a:defRPr/>
          </a:pPr>
          <a:r>
            <a:rPr sz="1600">
              <a:solidFill>
                <a:schemeClr val="bg1"/>
              </a:solidFill>
              <a:latin typeface="Calibri"/>
              <a:ea typeface="Calibri"/>
              <a:cs typeface="Calibri"/>
            </a:rPr>
            <a:t>Dashboard</a:t>
          </a:r>
          <a:endParaRPr sz="1800">
            <a:solidFill>
              <a:schemeClr val="bg1"/>
            </a:solidFill>
            <a:latin typeface="Calibri"/>
            <a:cs typeface="Calibri"/>
          </a:endParaRPr>
        </a:p>
      </xdr:txBody>
    </xdr:sp>
    <xdr:clientData/>
  </xdr:twoCellAnchor>
  <xdr:twoCellAnchor editAs="twoCell">
    <xdr:from>
      <xdr:col>22</xdr:col>
      <xdr:colOff>28575</xdr:colOff>
      <xdr:row>18</xdr:row>
      <xdr:rowOff>38100</xdr:rowOff>
    </xdr:from>
    <xdr:to>
      <xdr:col>22</xdr:col>
      <xdr:colOff>457198</xdr:colOff>
      <xdr:row>24</xdr:row>
      <xdr:rowOff>133350</xdr:rowOff>
    </xdr:to>
    <xdr:sp>
      <xdr:nvSpPr>
        <xdr:cNvPr id="614846986" name="">
          <a:hlinkClick r:id="rId2" tooltip=""/>
        </xdr:cNvPr>
        <xdr:cNvSpPr/>
      </xdr:nvSpPr>
      <xdr:spPr bwMode="auto">
        <a:xfrm rot="5400000" flipH="0" flipV="0">
          <a:off x="15501937" y="3671888"/>
          <a:ext cx="1181098" cy="428623"/>
        </a:xfrm>
        <a:prstGeom prst="snip2SameRect">
          <a:avLst>
            <a:gd name="adj1" fmla="val 16667"/>
            <a:gd name="adj2" fmla="val 0"/>
          </a:avLst>
        </a:prstGeom>
        <a:solidFill>
          <a:srgbClr val="00206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 lIns="91440" tIns="45720" rIns="91440" bIns="45720" numCol="1" spcCol="0" rtlCol="0" fromWordArt="0" anchor="ctr" anchorCtr="0" forceAA="0" upright="0" compatLnSpc="0"/>
        <a:p>
          <a:pPr algn="ctr">
            <a:defRPr/>
          </a:pPr>
          <a:r>
            <a:rPr sz="1600"/>
            <a:t>Analysis</a:t>
          </a:r>
          <a:endParaRPr sz="1600"/>
        </a:p>
      </xdr:txBody>
    </xdr:sp>
    <xdr:clientData/>
  </xdr:twoCellAnchor>
  <xdr:twoCellAnchor editAs="twoCell">
    <xdr:from>
      <xdr:col>21</xdr:col>
      <xdr:colOff>671512</xdr:colOff>
      <xdr:row>27</xdr:row>
      <xdr:rowOff>133351</xdr:rowOff>
    </xdr:from>
    <xdr:to>
      <xdr:col>22</xdr:col>
      <xdr:colOff>414336</xdr:colOff>
      <xdr:row>34</xdr:row>
      <xdr:rowOff>47623</xdr:rowOff>
    </xdr:to>
    <xdr:sp>
      <xdr:nvSpPr>
        <xdr:cNvPr id="210728679" name=""/>
        <xdr:cNvSpPr/>
      </xdr:nvSpPr>
      <xdr:spPr bwMode="auto">
        <a:xfrm rot="5400000" flipH="0" flipV="0">
          <a:off x="15459075" y="5395913"/>
          <a:ext cx="1181097" cy="428623"/>
        </a:xfrm>
        <a:prstGeom prst="snip2SameRect">
          <a:avLst>
            <a:gd name="adj1" fmla="val 16667"/>
            <a:gd name="adj2" fmla="val 0"/>
          </a:avLst>
        </a:prstGeom>
        <a:solidFill>
          <a:schemeClr val="bg1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 lIns="91440" tIns="45720" rIns="91440" bIns="45720" numCol="1" spcCol="0" rtlCol="0" fromWordArt="0" anchor="ctr" anchorCtr="0" forceAA="0" upright="0" compatLnSpc="0"/>
        <a:p>
          <a:pPr algn="ctr">
            <a:defRPr/>
          </a:pPr>
          <a:r>
            <a:rPr sz="1600">
              <a:solidFill>
                <a:srgbClr val="002060"/>
              </a:solidFill>
            </a:rPr>
            <a:t>Raw_Data</a:t>
          </a:r>
          <a:endParaRPr sz="1600">
            <a:solidFill>
              <a:srgbClr val="002060"/>
            </a:solidFill>
          </a:endParaRPr>
        </a:p>
      </xdr:txBody>
    </xdr:sp>
    <xdr:clientData/>
  </xdr:twoCellAnchor>
  <xdr:oneCellAnchor>
    <xdr:from>
      <xdr:col>21</xdr:col>
      <xdr:colOff>642937</xdr:colOff>
      <xdr:row>0</xdr:row>
      <xdr:rowOff>0</xdr:rowOff>
    </xdr:from>
    <xdr:ext cx="1343024" cy="1343024"/>
    <xdr:pic>
      <xdr:nvPicPr>
        <xdr:cNvPr id="606555002" name=""/>
        <xdr:cNvPicPr>
          <a:picLocks noChangeAspect="1"/>
        </xdr:cNvPicPr>
      </xdr:nvPicPr>
      <xdr:blipFill rotWithShape="1">
        <a:blip r:embed="rId3"/>
        <a:stretch/>
      </xdr:blipFill>
      <xdr:spPr bwMode="auto">
        <a:xfrm flipH="0" flipV="0">
          <a:off x="15806737" y="0"/>
          <a:ext cx="1343025" cy="1343025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255">
  <cacheSource type="worksheet">
    <worksheetSource ref="A:K" sheet="RAW_Data"/>
  </cacheSource>
  <cacheFields count="11">
    <cacheField name="Order ID">
      <sharedItems containsString="0" containsBlank="1" containsNumber="1" containsInteger="1" minValue="10452" maxValue="10713" count="255">
        <n v="10452"/>
        <n v="10453"/>
        <n v="10454"/>
        <n v="10455"/>
        <n v="10456"/>
        <n v="10457"/>
        <n v="10459"/>
        <n v="10460"/>
        <n v="10461"/>
        <n v="10462"/>
        <n v="10463"/>
        <n v="10464"/>
        <n v="10465"/>
        <n v="10466"/>
        <n v="10467"/>
        <n v="10468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483"/>
        <n v="10484"/>
        <n v="10485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37"/>
        <n v="10538"/>
        <n v="1053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m/>
      </sharedItems>
    </cacheField>
    <cacheField name="Date">
      <sharedItems containsNonDate="0" containsDate="1" containsString="0" containsBlank="1" minDate="2022-11-07T00:00:00" maxDate="2022-12-29T00:00:00"/>
    </cacheField>
    <cacheField name="Product">
      <sharedItems containsBlank="1" count="6">
        <s v="Fries"/>
        <s v="Beverages"/>
        <s v="Sides &amp; Other"/>
        <s v="Burgers"/>
        <s v="Chicken Sandwiches"/>
        <m/>
      </sharedItems>
    </cacheField>
    <cacheField name="Price">
      <sharedItems containsString="0" containsBlank="1" containsNumber="1" minValue="2.95" maxValue="29.05"/>
    </cacheField>
    <cacheField name="Quantity">
      <sharedItems containsString="0" containsBlank="1" containsNumber="1" minValue="200.4" maxValue="754.43" count="30">
        <n v="573.07"/>
        <n v="745.76"/>
        <n v="200.4"/>
        <n v="569.67"/>
        <n v="201.01"/>
        <n v="554.27"/>
        <n v="677.97"/>
        <n v="630.37"/>
        <n v="523.48"/>
        <n v="508.08"/>
        <n v="538.88"/>
        <n v="687.68"/>
        <n v="477.29"/>
        <n v="492.69"/>
        <n v="461.89"/>
        <n v="446.5"/>
        <n v="585.07"/>
        <n v="221.11"/>
        <n v="600.46"/>
        <n v="631.25"/>
        <n v="646.65"/>
        <n v="677.44"/>
        <n v="241.21"/>
        <n v="261.31"/>
        <n v="692.84"/>
        <n v="281.41"/>
        <n v="723.63"/>
        <n v="301.51"/>
        <n v="754.43"/>
        <m/>
      </sharedItems>
    </cacheField>
    <cacheField name="Purchase Type">
      <sharedItems containsBlank="1"/>
    </cacheField>
    <cacheField name="Payment Method">
      <sharedItems containsBlank="1" count="4">
        <s v=" Gift Card"/>
        <s v=" Credit Card"/>
        <s v=" Cash"/>
        <m/>
      </sharedItems>
    </cacheField>
    <cacheField name="Manager">
      <sharedItems containsBlank="1"/>
    </cacheField>
    <cacheField name="City">
      <sharedItems containsBlank="1"/>
    </cacheField>
    <cacheField name="Revenue">
      <sharedItems containsString="0" containsBlank="1" containsNumber="1" minValue="999.9960000000001" maxValue="16074.435" count="32">
        <n v="2000.0143000000003"/>
        <n v="2199.992"/>
        <n v="999.9960000000001"/>
        <n v="7400.0133"/>
        <n v="2000.0494999999999"/>
        <n v="7199.9673"/>
        <n v="2000.0115000000003"/>
        <n v="2199.9913"/>
        <n v="6800.0052000000005"/>
        <n v="6599.9592"/>
        <n v="16074.435"/>
        <n v="5839.3405"/>
        <n v="7000.0512"/>
        <n v="2400.0032"/>
        <n v="6199.9971000000005"/>
        <n v="6400.0431"/>
        <n v="5999.9511"/>
        <n v="5800.035"/>
        <n v="7600.059300000001"/>
        <n v="2200.0445"/>
        <n v="7799.9754"/>
        <n v="8199.9375"/>
        <n v="8399.9835"/>
        <n v="8799.945600000001"/>
        <n v="2400.0395"/>
        <n v="2600.0344999999998"/>
        <n v="8999.991600000001"/>
        <n v="2800.0295"/>
        <n v="9399.9537"/>
        <n v="3000.0244999999995"/>
        <n v="9800.045699999999"/>
        <m/>
      </sharedItems>
    </cacheField>
    <cacheField name="Manager(Clean)">
      <sharedItems containsBlank="1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255">
  <cacheSource type="worksheet">
    <worksheetSource ref="A:K" sheet="RAW_Data"/>
  </cacheSource>
  <cacheFields count="11">
    <cacheField name="Order ID">
      <sharedItems containsString="0" containsBlank="1" containsNumber="1" containsInteger="1" minValue="10452" maxValue="10713"/>
    </cacheField>
    <cacheField name="Date">
      <sharedItems containsNonDate="0" containsDate="1" containsString="0" containsBlank="1" minDate="2022-11-07T00:00:00" maxDate="2022-12-29T00:00:00" count="54"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m/>
      </sharedItems>
    </cacheField>
    <cacheField name="Product">
      <sharedItems containsBlank="1"/>
    </cacheField>
    <cacheField name="Price">
      <sharedItems containsString="0" containsBlank="1" containsNumber="1" minValue="2.95" maxValue="29.05"/>
    </cacheField>
    <cacheField name="Quantity">
      <sharedItems containsString="0" containsBlank="1" containsNumber="1" minValue="200.4" maxValue="754.43"/>
    </cacheField>
    <cacheField name="Purchase Type">
      <sharedItems containsBlank="1"/>
    </cacheField>
    <cacheField name="Payment Method">
      <sharedItems containsBlank="1"/>
    </cacheField>
    <cacheField name="Manager">
      <sharedItems containsBlank="1"/>
    </cacheField>
    <cacheField name="City">
      <sharedItems containsBlank="1" count="6">
        <s v="London"/>
        <s v="Madrid"/>
        <s v="Lisbon"/>
        <s v="Berlin"/>
        <s v="Paris"/>
        <m/>
      </sharedItems>
    </cacheField>
    <cacheField name="Revenue">
      <sharedItems containsString="0" containsBlank="1" containsNumber="1" minValue="999.9960000000001" maxValue="16074.435" count="32">
        <n v="2000.0143000000003"/>
        <n v="2199.992"/>
        <n v="999.9960000000001"/>
        <n v="7400.0133"/>
        <n v="2000.0494999999999"/>
        <n v="7199.9673"/>
        <n v="2000.0115000000003"/>
        <n v="2199.9913"/>
        <n v="6800.0052000000005"/>
        <n v="6599.9592"/>
        <n v="16074.435"/>
        <n v="5839.3405"/>
        <n v="7000.0512"/>
        <n v="2400.0032"/>
        <n v="6199.9971000000005"/>
        <n v="6400.0431"/>
        <n v="5999.9511"/>
        <n v="5800.035"/>
        <n v="7600.059300000001"/>
        <n v="2200.0445"/>
        <n v="7799.9754"/>
        <n v="8199.9375"/>
        <n v="8399.9835"/>
        <n v="8799.945600000001"/>
        <n v="2400.0395"/>
        <n v="2600.0344999999998"/>
        <n v="8999.991600000001"/>
        <n v="2800.0295"/>
        <n v="9399.9537"/>
        <n v="3000.0244999999995"/>
        <n v="9800.045699999999"/>
        <m/>
      </sharedItems>
    </cacheField>
    <cacheField name="Manager(Clean)">
      <sharedItems containsBlank="1" count="6">
        <s v="Tom Jackson"/>
        <s v="Pablo Perez"/>
        <s v="Joao Silva"/>
        <s v="Walter Muller"/>
        <s v="Remy Monet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255">
  <cacheSource type="worksheet">
    <worksheetSource ref="A:K" sheet="RAW_Data"/>
  </cacheSource>
  <cacheFields count="11">
    <cacheField name="Order ID">
      <sharedItems containsString="0" containsBlank="1" containsNumber="1" containsInteger="1" minValue="10452" maxValue="10713"/>
    </cacheField>
    <cacheField name="Date">
      <sharedItems containsNonDate="0" containsDate="1" containsString="0" containsBlank="1" minDate="2022-11-07T00:00:00" maxDate="2022-12-29T00:00:00"/>
    </cacheField>
    <cacheField name="Product">
      <sharedItems containsBlank="1" count="6">
        <s v="Fries"/>
        <s v="Beverages"/>
        <s v="Sides &amp; Other"/>
        <s v="Burgers"/>
        <s v="Chicken Sandwiches"/>
        <m/>
      </sharedItems>
    </cacheField>
    <cacheField name="Price">
      <sharedItems containsString="0" containsBlank="1" containsNumber="1" minValue="2.95" maxValue="29.05"/>
    </cacheField>
    <cacheField name="Quantity">
      <sharedItems containsString="0" containsBlank="1" containsNumber="1" minValue="200.4" maxValue="754.43" count="30">
        <n v="573.07"/>
        <n v="745.76"/>
        <n v="200.4"/>
        <n v="569.67"/>
        <n v="201.01"/>
        <n v="554.27"/>
        <n v="677.97"/>
        <n v="630.37"/>
        <n v="523.48"/>
        <n v="508.08"/>
        <n v="538.88"/>
        <n v="687.68"/>
        <n v="477.29"/>
        <n v="492.69"/>
        <n v="461.89"/>
        <n v="446.5"/>
        <n v="585.07"/>
        <n v="221.11"/>
        <n v="600.46"/>
        <n v="631.25"/>
        <n v="646.65"/>
        <n v="677.44"/>
        <n v="241.21"/>
        <n v="261.31"/>
        <n v="692.84"/>
        <n v="281.41"/>
        <n v="723.63"/>
        <n v="301.51"/>
        <n v="754.43"/>
        <m/>
      </sharedItems>
    </cacheField>
    <cacheField name="Purchase Type">
      <sharedItems containsBlank="1"/>
    </cacheField>
    <cacheField name="Payment Method">
      <sharedItems containsBlank="1"/>
    </cacheField>
    <cacheField name="Manager">
      <sharedItems containsBlank="1"/>
    </cacheField>
    <cacheField name="City">
      <sharedItems containsBlank="1"/>
    </cacheField>
    <cacheField name="Revenue">
      <sharedItems containsString="0" containsBlank="1" containsNumber="1" minValue="999.9960000000001" maxValue="16074.435" count="32">
        <n v="2000.0143000000003"/>
        <n v="2199.992"/>
        <n v="999.9960000000001"/>
        <n v="7400.0133"/>
        <n v="2000.0494999999999"/>
        <n v="7199.9673"/>
        <n v="2000.0115000000003"/>
        <n v="2199.9913"/>
        <n v="6800.0052000000005"/>
        <n v="6599.9592"/>
        <n v="16074.435"/>
        <n v="5839.3405"/>
        <n v="7000.0512"/>
        <n v="2400.0032"/>
        <n v="6199.9971000000005"/>
        <n v="6400.0431"/>
        <n v="5999.9511"/>
        <n v="5800.035"/>
        <n v="7600.059300000001"/>
        <n v="2200.0445"/>
        <n v="7799.9754"/>
        <n v="8199.9375"/>
        <n v="8399.9835"/>
        <n v="8799.945600000001"/>
        <n v="2400.0395"/>
        <n v="2600.0344999999998"/>
        <n v="8999.991600000001"/>
        <n v="2800.0295"/>
        <n v="9399.9537"/>
        <n v="3000.0244999999995"/>
        <n v="9800.045699999999"/>
        <m/>
      </sharedItems>
    </cacheField>
    <cacheField name="Manager(Clean)">
      <sharedItems containsBlank="1"/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255">
  <cacheSource type="worksheet">
    <worksheetSource ref="A:K" sheet="RAW_Data"/>
  </cacheSource>
  <cacheFields count="11">
    <cacheField name="Order ID">
      <sharedItems containsString="0" containsBlank="1" containsNumber="1" containsInteger="1" minValue="10452" maxValue="10713" count="255">
        <n v="10452"/>
        <n v="10453"/>
        <n v="10454"/>
        <n v="10455"/>
        <n v="10456"/>
        <n v="10457"/>
        <n v="10459"/>
        <n v="10460"/>
        <n v="10461"/>
        <n v="10462"/>
        <n v="10463"/>
        <n v="10464"/>
        <n v="10465"/>
        <n v="10466"/>
        <n v="10467"/>
        <n v="10468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483"/>
        <n v="10484"/>
        <n v="10485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37"/>
        <n v="10538"/>
        <n v="1053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m/>
      </sharedItems>
    </cacheField>
    <cacheField name="Date">
      <sharedItems containsNonDate="0" containsDate="1" containsString="0" containsBlank="1" minDate="2022-11-07T00:00:00" maxDate="2022-12-29T00:00:00" count="54"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m/>
      </sharedItems>
    </cacheField>
    <cacheField name="Product">
      <sharedItems containsBlank="1"/>
    </cacheField>
    <cacheField name="Price">
      <sharedItems containsString="0" containsBlank="1" containsNumber="1" minValue="2.95" maxValue="29.05"/>
    </cacheField>
    <cacheField name="Quantity">
      <sharedItems containsString="0" containsBlank="1" containsNumber="1" minValue="200.4" maxValue="754.43"/>
    </cacheField>
    <cacheField name="Purchase Type">
      <sharedItems containsBlank="1" count="4">
        <s v="Online "/>
        <s v="In-store "/>
        <s v="Drive-thru "/>
        <m/>
      </sharedItems>
    </cacheField>
    <cacheField name="Payment Method">
      <sharedItems containsBlank="1"/>
    </cacheField>
    <cacheField name="Manager">
      <sharedItems containsBlank="1"/>
    </cacheField>
    <cacheField name="City">
      <sharedItems containsBlank="1"/>
    </cacheField>
    <cacheField name="Revenue">
      <sharedItems containsString="0" containsBlank="1" containsNumber="1" minValue="999.9960000000001" maxValue="16074.435"/>
    </cacheField>
    <cacheField name="Manager(Clean)">
      <sharedItems containsBlank="1"/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255">
  <cacheSource type="worksheet">
    <worksheetSource ref="A:K" sheet="RAW_Data"/>
  </cacheSource>
  <cacheFields count="11">
    <cacheField name="Order ID">
      <sharedItems containsString="0" containsBlank="1" containsNumber="1" containsInteger="1" minValue="10452" maxValue="10713" count="255">
        <n v="10452"/>
        <n v="10453"/>
        <n v="10454"/>
        <n v="10455"/>
        <n v="10456"/>
        <n v="10457"/>
        <n v="10459"/>
        <n v="10460"/>
        <n v="10461"/>
        <n v="10462"/>
        <n v="10463"/>
        <n v="10464"/>
        <n v="10465"/>
        <n v="10466"/>
        <n v="10467"/>
        <n v="10468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483"/>
        <n v="10484"/>
        <n v="10485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37"/>
        <n v="10538"/>
        <n v="1053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m/>
      </sharedItems>
    </cacheField>
    <cacheField name="Date">
      <sharedItems containsNonDate="0" containsDate="1" containsString="0" containsBlank="1" minDate="2022-11-07T00:00:00" maxDate="2022-12-29T00:00:00" count="54"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m/>
      </sharedItems>
    </cacheField>
    <cacheField name="Product">
      <sharedItems containsBlank="1"/>
    </cacheField>
    <cacheField name="Price">
      <sharedItems containsString="0" containsBlank="1" containsNumber="1" minValue="2.95" maxValue="29.05"/>
    </cacheField>
    <cacheField name="Quantity">
      <sharedItems containsString="0" containsBlank="1" containsNumber="1" minValue="200.4" maxValue="754.43"/>
    </cacheField>
    <cacheField name="Purchase Type">
      <sharedItems containsBlank="1"/>
    </cacheField>
    <cacheField name="Payment Method">
      <sharedItems containsBlank="1"/>
    </cacheField>
    <cacheField name="Manager">
      <sharedItems containsBlank="1"/>
    </cacheField>
    <cacheField name="City">
      <sharedItems containsBlank="1"/>
    </cacheField>
    <cacheField name="Revenue">
      <sharedItems containsString="0" containsBlank="1" containsNumber="1" minValue="999.9960000000001" maxValue="16074.435" count="32">
        <n v="2000.0143000000003"/>
        <n v="2199.992"/>
        <n v="999.9960000000001"/>
        <n v="7400.0133"/>
        <n v="2000.0494999999999"/>
        <n v="7199.9673"/>
        <n v="2000.0115000000003"/>
        <n v="2199.9913"/>
        <n v="6800.0052000000005"/>
        <n v="6599.9592"/>
        <n v="16074.435"/>
        <n v="5839.3405"/>
        <n v="7000.0512"/>
        <n v="2400.0032"/>
        <n v="6199.9971000000005"/>
        <n v="6400.0431"/>
        <n v="5999.9511"/>
        <n v="5800.035"/>
        <n v="7600.059300000001"/>
        <n v="2200.0445"/>
        <n v="7799.9754"/>
        <n v="8199.9375"/>
        <n v="8399.9835"/>
        <n v="8799.945600000001"/>
        <n v="2400.0395"/>
        <n v="2600.0344999999998"/>
        <n v="8999.991600000001"/>
        <n v="2800.0295"/>
        <n v="9399.9537"/>
        <n v="3000.0244999999995"/>
        <n v="9800.045699999999"/>
        <m/>
      </sharedItems>
    </cacheField>
    <cacheField name="Manager(Clean)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5">
  <r>
    <x v="0"/>
    <d v="2022-11-07T00:00:00"/>
    <x v="0"/>
    <n v="3.49"/>
    <x v="0"/>
    <s v="Online "/>
    <x v="0"/>
    <s v="Tom      Jackson"/>
    <s v="London"/>
    <x v="0"/>
    <s v="Tom Jackson"/>
  </r>
  <r>
    <x v="1"/>
    <d v="2022-11-07T00:00:00"/>
    <x v="1"/>
    <n v="2.95"/>
    <x v="1"/>
    <s v="Online "/>
    <x v="0"/>
    <s v="       Pablo Perez"/>
    <s v="Madrid"/>
    <x v="1"/>
    <s v="Pablo Perez"/>
  </r>
  <r>
    <x v="2"/>
    <d v="2022-11-07T00:00:00"/>
    <x v="2"/>
    <n v="4.99"/>
    <x v="2"/>
    <s v="In-store "/>
    <x v="0"/>
    <s v="Joao    Silva"/>
    <s v="Lisbon"/>
    <x v="2"/>
    <s v="Joao Silva"/>
  </r>
  <r>
    <x v="3"/>
    <d v="2022-11-08T00:00:00"/>
    <x v="3"/>
    <n v="12.99"/>
    <x v="3"/>
    <s v="In-store "/>
    <x v="1"/>
    <s v="Walter Muller"/>
    <s v="Berlin"/>
    <x v="3"/>
    <s v="Walter Muller"/>
  </r>
  <r>
    <x v="4"/>
    <d v="2022-11-08T00:00:00"/>
    <x v="4"/>
    <n v="9.95"/>
    <x v="4"/>
    <s v="In-store "/>
    <x v="1"/>
    <s v="Walter Muller"/>
    <s v="Berlin"/>
    <x v="4"/>
    <s v="Walter Muller"/>
  </r>
  <r>
    <x v="5"/>
    <d v="2022-11-08T00:00:00"/>
    <x v="0"/>
    <n v="3.49"/>
    <x v="0"/>
    <s v="In-store "/>
    <x v="1"/>
    <s v="Remy    Monet"/>
    <s v="Paris"/>
    <x v="0"/>
    <s v="Remy Monet"/>
  </r>
  <r>
    <x v="6"/>
    <d v="2022-11-08T00:00:00"/>
    <x v="2"/>
    <n v="4.99"/>
    <x v="2"/>
    <s v="In-store "/>
    <x v="1"/>
    <s v="Walter Muller"/>
    <s v="Berlin"/>
    <x v="2"/>
    <s v="Walter Muller"/>
  </r>
  <r>
    <x v="7"/>
    <d v="2022-11-09T00:00:00"/>
    <x v="3"/>
    <n v="12.99"/>
    <x v="5"/>
    <s v="In-store "/>
    <x v="1"/>
    <s v="Remy Monet"/>
    <s v="Paris"/>
    <x v="5"/>
    <s v="Remy Monet"/>
  </r>
  <r>
    <x v="8"/>
    <d v="2022-11-09T00:00:00"/>
    <x v="4"/>
    <n v="9.95"/>
    <x v="4"/>
    <s v="In-store "/>
    <x v="1"/>
    <s v="Remy Monet"/>
    <s v="Paris"/>
    <x v="4"/>
    <s v="Remy Monet"/>
  </r>
  <r>
    <x v="9"/>
    <d v="2022-11-09T00:00:00"/>
    <x v="0"/>
    <n v="3.49"/>
    <x v="0"/>
    <s v="In-store "/>
    <x v="1"/>
    <s v="       Remy Monet"/>
    <s v="Paris"/>
    <x v="0"/>
    <s v="Remy Monet"/>
  </r>
  <r>
    <x v="10"/>
    <d v="2022-11-09T00:00:00"/>
    <x v="1"/>
    <n v="2.95"/>
    <x v="6"/>
    <s v="In-store "/>
    <x v="1"/>
    <s v="       Remy Monet"/>
    <s v="Paris"/>
    <x v="6"/>
    <s v="Remy Monet"/>
  </r>
  <r>
    <x v="11"/>
    <d v="2022-11-09T00:00:00"/>
    <x v="2"/>
    <n v="4.99"/>
    <x v="2"/>
    <s v="In-store "/>
    <x v="1"/>
    <s v="Remy     Monet"/>
    <s v="Paris"/>
    <x v="2"/>
    <s v="Remy Monet"/>
  </r>
  <r>
    <x v="12"/>
    <d v="2022-11-10T00:00:00"/>
    <x v="3"/>
    <n v="12.99"/>
    <x v="5"/>
    <s v="In-store "/>
    <x v="1"/>
    <s v="Pablo Perez"/>
    <s v="Madrid"/>
    <x v="5"/>
    <s v="Pablo Perez"/>
  </r>
  <r>
    <x v="13"/>
    <d v="2022-11-10T00:00:00"/>
    <x v="4"/>
    <n v="9.95"/>
    <x v="4"/>
    <s v="In-store "/>
    <x v="1"/>
    <s v="Pablo Perez"/>
    <s v="Madrid"/>
    <x v="4"/>
    <s v="Pablo Perez"/>
  </r>
  <r>
    <x v="14"/>
    <d v="2022-11-10T00:00:00"/>
    <x v="0"/>
    <n v="3.49"/>
    <x v="0"/>
    <s v="In-store "/>
    <x v="1"/>
    <s v="Pablo Perez"/>
    <s v="Madrid"/>
    <x v="0"/>
    <s v="Pablo Perez"/>
  </r>
  <r>
    <x v="15"/>
    <d v="2022-11-10T00:00:00"/>
    <x v="1"/>
    <n v="2.95"/>
    <x v="6"/>
    <s v="In-store "/>
    <x v="1"/>
    <s v="       Pablo Perez"/>
    <s v="Madrid"/>
    <x v="6"/>
    <s v="Pablo Perez"/>
  </r>
  <r>
    <x v="16"/>
    <d v="2022-11-11T00:00:00"/>
    <x v="3"/>
    <n v="12.99"/>
    <x v="5"/>
    <s v="In-store "/>
    <x v="1"/>
    <s v="       Pablo Perez"/>
    <s v="Madrid"/>
    <x v="5"/>
    <s v="Pablo Perez"/>
  </r>
  <r>
    <x v="17"/>
    <d v="2022-11-11T00:00:00"/>
    <x v="4"/>
    <n v="9.95"/>
    <x v="4"/>
    <s v="In-store "/>
    <x v="1"/>
    <s v="       Pablo Perez"/>
    <s v="Madrid"/>
    <x v="4"/>
    <s v="Pablo Perez"/>
  </r>
  <r>
    <x v="18"/>
    <d v="2022-11-11T00:00:00"/>
    <x v="0"/>
    <n v="3.49"/>
    <x v="7"/>
    <s v="In-store "/>
    <x v="1"/>
    <s v="Pablo   Perez"/>
    <s v="Madrid"/>
    <x v="7"/>
    <s v="Pablo Perez"/>
  </r>
  <r>
    <x v="19"/>
    <d v="2022-11-11T00:00:00"/>
    <x v="1"/>
    <n v="2.95"/>
    <x v="6"/>
    <s v="In-store "/>
    <x v="1"/>
    <s v="       Pablo Perez"/>
    <s v="Madrid"/>
    <x v="6"/>
    <s v="Pablo Perez"/>
  </r>
  <r>
    <x v="20"/>
    <d v="2022-11-11T00:00:00"/>
    <x v="2"/>
    <n v="4.99"/>
    <x v="2"/>
    <s v="In-store "/>
    <x v="1"/>
    <s v="       Pablo Perez"/>
    <s v="Madrid"/>
    <x v="2"/>
    <s v="Pablo Perez"/>
  </r>
  <r>
    <x v="21"/>
    <d v="2022-11-12T00:00:00"/>
    <x v="3"/>
    <n v="12.99"/>
    <x v="8"/>
    <s v="In-store "/>
    <x v="1"/>
    <s v="       Pablo Perez"/>
    <s v="Madrid"/>
    <x v="8"/>
    <s v="Pablo Perez"/>
  </r>
  <r>
    <x v="22"/>
    <d v="2022-11-12T00:00:00"/>
    <x v="4"/>
    <n v="9.95"/>
    <x v="4"/>
    <s v="In-store "/>
    <x v="1"/>
    <s v="Pablo Perez"/>
    <s v="Madrid"/>
    <x v="4"/>
    <s v="Pablo Perez"/>
  </r>
  <r>
    <x v="23"/>
    <d v="2022-11-12T00:00:00"/>
    <x v="0"/>
    <n v="3.49"/>
    <x v="7"/>
    <s v="In-store "/>
    <x v="1"/>
    <s v="Pablo  Perez"/>
    <s v="Madrid"/>
    <x v="7"/>
    <s v="Pablo Perez"/>
  </r>
  <r>
    <x v="24"/>
    <d v="2022-11-12T00:00:00"/>
    <x v="1"/>
    <n v="2.95"/>
    <x v="6"/>
    <s v="In-store "/>
    <x v="1"/>
    <s v="Pablo Perez"/>
    <s v="Madrid"/>
    <x v="6"/>
    <s v="Pablo Perez"/>
  </r>
  <r>
    <x v="25"/>
    <d v="2022-11-12T00:00:00"/>
    <x v="2"/>
    <n v="4.99"/>
    <x v="2"/>
    <s v="In-store "/>
    <x v="1"/>
    <s v="Pablo    Perez"/>
    <s v="Madrid"/>
    <x v="2"/>
    <s v="Pablo Perez"/>
  </r>
  <r>
    <x v="26"/>
    <d v="2022-11-13T00:00:00"/>
    <x v="3"/>
    <n v="12.99"/>
    <x v="9"/>
    <s v="In-store "/>
    <x v="1"/>
    <s v="Pablo Perez"/>
    <s v="Madrid"/>
    <x v="9"/>
    <s v="Pablo Perez"/>
  </r>
  <r>
    <x v="27"/>
    <d v="2022-11-13T00:00:00"/>
    <x v="4"/>
    <n v="9.95"/>
    <x v="4"/>
    <s v="In-store "/>
    <x v="1"/>
    <s v="Pablo Perez"/>
    <s v="Madrid"/>
    <x v="4"/>
    <s v="Pablo Perez"/>
  </r>
  <r>
    <x v="28"/>
    <d v="2022-11-13T00:00:00"/>
    <x v="0"/>
    <n v="25.5"/>
    <x v="7"/>
    <s v="In-store "/>
    <x v="1"/>
    <s v="Joao Silva"/>
    <s v="Lisbon"/>
    <x v="10"/>
    <s v="Joao Silva"/>
  </r>
  <r>
    <x v="29"/>
    <d v="2022-11-14T00:00:00"/>
    <x v="4"/>
    <n v="29.05"/>
    <x v="4"/>
    <s v="In-store "/>
    <x v="1"/>
    <s v="Joao    Silva"/>
    <s v="Lisbon"/>
    <x v="11"/>
    <s v="Joao Silva"/>
  </r>
  <r>
    <x v="30"/>
    <d v="2022-11-14T00:00:00"/>
    <x v="0"/>
    <n v="3.49"/>
    <x v="7"/>
    <s v="In-store "/>
    <x v="1"/>
    <s v="Joao Silva"/>
    <s v="Lisbon"/>
    <x v="7"/>
    <s v="Joao Silva"/>
  </r>
  <r>
    <x v="31"/>
    <d v="2022-11-14T00:00:00"/>
    <x v="1"/>
    <n v="2.95"/>
    <x v="6"/>
    <s v="In-store "/>
    <x v="1"/>
    <s v="Joao Silva"/>
    <s v="Lisbon"/>
    <x v="6"/>
    <s v="Joao Silva"/>
  </r>
  <r>
    <x v="32"/>
    <d v="2022-11-14T00:00:00"/>
    <x v="2"/>
    <n v="4.99"/>
    <x v="2"/>
    <s v="In-store "/>
    <x v="1"/>
    <s v="Pablo Perez"/>
    <s v="Madrid"/>
    <x v="2"/>
    <s v="Pablo Perez"/>
  </r>
  <r>
    <x v="33"/>
    <d v="2022-11-15T00:00:00"/>
    <x v="3"/>
    <n v="12.99"/>
    <x v="9"/>
    <s v="In-store "/>
    <x v="1"/>
    <s v="Pablo Perez"/>
    <s v="Madrid"/>
    <x v="9"/>
    <s v="Pablo Perez"/>
  </r>
  <r>
    <x v="34"/>
    <d v="2022-11-15T00:00:00"/>
    <x v="4"/>
    <n v="9.95"/>
    <x v="4"/>
    <s v="In-store "/>
    <x v="1"/>
    <s v="Pablo Perez"/>
    <s v="Madrid"/>
    <x v="4"/>
    <s v="Pablo Perez"/>
  </r>
  <r>
    <x v="35"/>
    <d v="2022-11-15T00:00:00"/>
    <x v="0"/>
    <n v="3.49"/>
    <x v="0"/>
    <s v="In-store "/>
    <x v="1"/>
    <s v="Pablo Perez"/>
    <s v="Madrid"/>
    <x v="0"/>
    <s v="Pablo Perez"/>
  </r>
  <r>
    <x v="36"/>
    <d v="2022-11-15T00:00:00"/>
    <x v="1"/>
    <n v="2.95"/>
    <x v="6"/>
    <s v="In-store "/>
    <x v="1"/>
    <s v="Pablo Perez"/>
    <s v="Madrid"/>
    <x v="6"/>
    <s v="Pablo Perez"/>
  </r>
  <r>
    <x v="37"/>
    <d v="2022-11-15T00:00:00"/>
    <x v="2"/>
    <n v="4.99"/>
    <x v="2"/>
    <s v="In-store "/>
    <x v="1"/>
    <s v="Pablo Perez"/>
    <s v="Madrid"/>
    <x v="2"/>
    <s v="Pablo Perez"/>
  </r>
  <r>
    <x v="38"/>
    <d v="2022-11-16T00:00:00"/>
    <x v="3"/>
    <n v="12.99"/>
    <x v="9"/>
    <s v="In-store "/>
    <x v="1"/>
    <s v="Pablo Perez"/>
    <s v="Madrid"/>
    <x v="9"/>
    <s v="Pablo Perez"/>
  </r>
  <r>
    <x v="39"/>
    <d v="2022-11-16T00:00:00"/>
    <x v="4"/>
    <n v="9.95"/>
    <x v="4"/>
    <s v="In-store "/>
    <x v="1"/>
    <s v="Pablo Perez"/>
    <s v="Madrid"/>
    <x v="4"/>
    <s v="Pablo Perez"/>
  </r>
  <r>
    <x v="40"/>
    <d v="2022-11-16T00:00:00"/>
    <x v="0"/>
    <n v="3.49"/>
    <x v="0"/>
    <s v="In-store "/>
    <x v="1"/>
    <s v="Pablo Perez"/>
    <s v="Madrid"/>
    <x v="0"/>
    <s v="Pablo Perez"/>
  </r>
  <r>
    <x v="41"/>
    <d v="2022-11-16T00:00:00"/>
    <x v="1"/>
    <n v="2.95"/>
    <x v="6"/>
    <s v="Drive-thru "/>
    <x v="1"/>
    <s v="Pablo Perez"/>
    <s v="Madrid"/>
    <x v="6"/>
    <s v="Pablo Perez"/>
  </r>
  <r>
    <x v="42"/>
    <d v="2022-11-16T00:00:00"/>
    <x v="2"/>
    <n v="4.99"/>
    <x v="2"/>
    <s v="Drive-thru "/>
    <x v="1"/>
    <s v="Pablo Perez"/>
    <s v="Madrid"/>
    <x v="2"/>
    <s v="Pablo Perez"/>
  </r>
  <r>
    <x v="43"/>
    <d v="2022-11-17T00:00:00"/>
    <x v="3"/>
    <n v="12.99"/>
    <x v="8"/>
    <s v="Drive-thru "/>
    <x v="1"/>
    <s v="Pablo Perez"/>
    <s v="Madrid"/>
    <x v="8"/>
    <s v="Pablo Perez"/>
  </r>
  <r>
    <x v="44"/>
    <d v="2022-11-17T00:00:00"/>
    <x v="4"/>
    <n v="9.95"/>
    <x v="4"/>
    <s v="Drive-thru "/>
    <x v="1"/>
    <s v="Pablo Perez"/>
    <s v="Madrid"/>
    <x v="4"/>
    <s v="Pablo Perez"/>
  </r>
  <r>
    <x v="45"/>
    <d v="2022-11-17T00:00:00"/>
    <x v="0"/>
    <n v="3.49"/>
    <x v="7"/>
    <s v="Drive-thru "/>
    <x v="1"/>
    <s v="Pablo Perez"/>
    <s v="Madrid"/>
    <x v="7"/>
    <s v="Pablo Perez"/>
  </r>
  <r>
    <x v="46"/>
    <d v="2022-11-17T00:00:00"/>
    <x v="1"/>
    <n v="2.95"/>
    <x v="6"/>
    <s v="Drive-thru "/>
    <x v="1"/>
    <s v="Pablo Perez"/>
    <s v="Madrid"/>
    <x v="6"/>
    <s v="Pablo Perez"/>
  </r>
  <r>
    <x v="47"/>
    <d v="2022-11-17T00:00:00"/>
    <x v="2"/>
    <n v="4.99"/>
    <x v="2"/>
    <s v="Drive-thru "/>
    <x v="1"/>
    <s v="Pablo Perez"/>
    <s v="Madrid"/>
    <x v="2"/>
    <s v="Pablo Perez"/>
  </r>
  <r>
    <x v="48"/>
    <d v="2022-11-18T00:00:00"/>
    <x v="3"/>
    <n v="12.99"/>
    <x v="10"/>
    <s v="Drive-thru "/>
    <x v="1"/>
    <s v="Pablo Perez"/>
    <s v="Madrid"/>
    <x v="12"/>
    <s v="Pablo Perez"/>
  </r>
  <r>
    <x v="49"/>
    <d v="2022-11-18T00:00:00"/>
    <x v="4"/>
    <n v="9.95"/>
    <x v="4"/>
    <s v="Drive-thru "/>
    <x v="1"/>
    <s v="Pablo Perez"/>
    <s v="Madrid"/>
    <x v="4"/>
    <s v="Pablo Perez"/>
  </r>
  <r>
    <x v="50"/>
    <d v="2022-11-18T00:00:00"/>
    <x v="0"/>
    <n v="3.49"/>
    <x v="11"/>
    <s v="Drive-thru "/>
    <x v="1"/>
    <s v="Pablo Perez"/>
    <s v="Madrid"/>
    <x v="13"/>
    <s v="Pablo Perez"/>
  </r>
  <r>
    <x v="51"/>
    <d v="2022-11-18T00:00:00"/>
    <x v="1"/>
    <n v="2.95"/>
    <x v="6"/>
    <s v="Drive-thru "/>
    <x v="1"/>
    <s v="Pablo Perez"/>
    <s v="Madrid"/>
    <x v="6"/>
    <s v="Pablo Perez"/>
  </r>
  <r>
    <x v="52"/>
    <d v="2022-11-18T00:00:00"/>
    <x v="2"/>
    <n v="4.99"/>
    <x v="2"/>
    <s v="Drive-thru "/>
    <x v="1"/>
    <s v="Pablo Perez"/>
    <s v="Madrid"/>
    <x v="2"/>
    <s v="Pablo Perez"/>
  </r>
  <r>
    <x v="53"/>
    <d v="2022-11-19T00:00:00"/>
    <x v="3"/>
    <n v="12.99"/>
    <x v="9"/>
    <s v="Drive-thru "/>
    <x v="1"/>
    <s v="Pablo Perez"/>
    <s v="Madrid"/>
    <x v="9"/>
    <s v="Pablo Perez"/>
  </r>
  <r>
    <x v="54"/>
    <d v="2022-11-19T00:00:00"/>
    <x v="4"/>
    <n v="9.95"/>
    <x v="4"/>
    <s v="Drive-thru "/>
    <x v="1"/>
    <s v="Joao Silva"/>
    <s v="Lisbon"/>
    <x v="4"/>
    <s v="Joao Silva"/>
  </r>
  <r>
    <x v="55"/>
    <d v="2022-11-19T00:00:00"/>
    <x v="0"/>
    <n v="3.49"/>
    <x v="11"/>
    <s v="Drive-thru "/>
    <x v="1"/>
    <s v="Joao Silva"/>
    <s v="Lisbon"/>
    <x v="13"/>
    <s v="Joao Silva"/>
  </r>
  <r>
    <x v="56"/>
    <d v="2022-11-19T00:00:00"/>
    <x v="1"/>
    <n v="2.95"/>
    <x v="6"/>
    <s v="Drive-thru "/>
    <x v="2"/>
    <s v="Joao Silva"/>
    <s v="Lisbon"/>
    <x v="6"/>
    <s v="Joao Silva"/>
  </r>
  <r>
    <x v="57"/>
    <d v="2022-11-19T00:00:00"/>
    <x v="2"/>
    <n v="4.99"/>
    <x v="2"/>
    <s v="Drive-thru "/>
    <x v="2"/>
    <s v="Joao Silva"/>
    <s v="Lisbon"/>
    <x v="2"/>
    <s v="Joao Silva"/>
  </r>
  <r>
    <x v="58"/>
    <d v="2022-11-20T00:00:00"/>
    <x v="3"/>
    <n v="12.99"/>
    <x v="12"/>
    <s v="Drive-thru "/>
    <x v="2"/>
    <s v="Joao Silva"/>
    <s v="Lisbon"/>
    <x v="14"/>
    <s v="Joao Silva"/>
  </r>
  <r>
    <x v="59"/>
    <d v="2022-11-20T00:00:00"/>
    <x v="4"/>
    <n v="9.95"/>
    <x v="4"/>
    <s v="Drive-thru "/>
    <x v="2"/>
    <s v="Joao Silva"/>
    <s v="Lisbon"/>
    <x v="4"/>
    <s v="Joao Silva"/>
  </r>
  <r>
    <x v="60"/>
    <d v="2022-11-13T00:00:00"/>
    <x v="1"/>
    <n v="2.95"/>
    <x v="6"/>
    <s v="In-store "/>
    <x v="1"/>
    <s v="Joao    Silva"/>
    <s v="Lisbon"/>
    <x v="6"/>
    <s v="Joao Silva"/>
  </r>
  <r>
    <x v="61"/>
    <d v="2022-11-13T00:00:00"/>
    <x v="2"/>
    <n v="4.99"/>
    <x v="2"/>
    <s v="In-store "/>
    <x v="1"/>
    <s v="Joao    Silva"/>
    <s v="Lisbon"/>
    <x v="2"/>
    <s v="Joao Silva"/>
  </r>
  <r>
    <x v="62"/>
    <d v="2022-11-14T00:00:00"/>
    <x v="3"/>
    <n v="12.99"/>
    <x v="8"/>
    <s v="In-store "/>
    <x v="1"/>
    <s v="Joao    Silva"/>
    <s v="Lisbon"/>
    <x v="8"/>
    <s v="Joao Silva"/>
  </r>
  <r>
    <x v="63"/>
    <d v="2022-11-21T00:00:00"/>
    <x v="3"/>
    <n v="12.99"/>
    <x v="13"/>
    <s v="Drive-thru "/>
    <x v="2"/>
    <s v="Remy Monet"/>
    <s v="Paris"/>
    <x v="15"/>
    <s v="Remy Monet"/>
  </r>
  <r>
    <x v="64"/>
    <d v="2022-11-21T00:00:00"/>
    <x v="4"/>
    <n v="9.95"/>
    <x v="4"/>
    <s v="Drive-thru "/>
    <x v="2"/>
    <s v="Remy Monet"/>
    <s v="Paris"/>
    <x v="4"/>
    <s v="Remy Monet"/>
  </r>
  <r>
    <x v="65"/>
    <d v="2022-11-21T00:00:00"/>
    <x v="0"/>
    <n v="3.49"/>
    <x v="11"/>
    <s v="Drive-thru "/>
    <x v="2"/>
    <s v="Remy Monet"/>
    <s v="Paris"/>
    <x v="13"/>
    <s v="Remy Monet"/>
  </r>
  <r>
    <x v="66"/>
    <d v="2022-11-21T00:00:00"/>
    <x v="1"/>
    <n v="2.95"/>
    <x v="1"/>
    <s v="Drive-thru "/>
    <x v="2"/>
    <s v="Remy Monet"/>
    <s v="Paris"/>
    <x v="1"/>
    <s v="Remy Monet"/>
  </r>
  <r>
    <x v="67"/>
    <d v="2022-11-21T00:00:00"/>
    <x v="2"/>
    <n v="4.99"/>
    <x v="2"/>
    <s v="Drive-thru "/>
    <x v="2"/>
    <s v="Remy Monet"/>
    <s v="Paris"/>
    <x v="2"/>
    <s v="Remy Monet"/>
  </r>
  <r>
    <x v="68"/>
    <d v="2022-11-22T00:00:00"/>
    <x v="3"/>
    <n v="12.99"/>
    <x v="14"/>
    <s v="Drive-thru "/>
    <x v="2"/>
    <s v="Remy Monet"/>
    <s v="Paris"/>
    <x v="16"/>
    <s v="Remy Monet"/>
  </r>
  <r>
    <x v="69"/>
    <d v="2022-11-22T00:00:00"/>
    <x v="4"/>
    <n v="9.95"/>
    <x v="4"/>
    <s v="Drive-thru "/>
    <x v="2"/>
    <s v="Remy Monet"/>
    <s v="Paris"/>
    <x v="4"/>
    <s v="Remy Monet"/>
  </r>
  <r>
    <x v="70"/>
    <d v="2022-11-22T00:00:00"/>
    <x v="0"/>
    <n v="3.49"/>
    <x v="11"/>
    <s v="Drive-thru "/>
    <x v="2"/>
    <s v="Remy Monet"/>
    <s v="Paris"/>
    <x v="13"/>
    <s v="Remy Monet"/>
  </r>
  <r>
    <x v="71"/>
    <d v="2022-11-22T00:00:00"/>
    <x v="1"/>
    <n v="2.95"/>
    <x v="1"/>
    <s v="Drive-thru "/>
    <x v="2"/>
    <s v="Remy Monet"/>
    <s v="Paris"/>
    <x v="1"/>
    <s v="Remy Monet"/>
  </r>
  <r>
    <x v="72"/>
    <d v="2022-11-22T00:00:00"/>
    <x v="2"/>
    <n v="4.99"/>
    <x v="2"/>
    <s v="Drive-thru "/>
    <x v="2"/>
    <s v="Remy Monet"/>
    <s v="Paris"/>
    <x v="2"/>
    <s v="Remy Monet"/>
  </r>
  <r>
    <x v="73"/>
    <d v="2022-11-23T00:00:00"/>
    <x v="3"/>
    <n v="12.99"/>
    <x v="12"/>
    <s v="Drive-thru "/>
    <x v="2"/>
    <s v="Remy Monet"/>
    <s v="Paris"/>
    <x v="14"/>
    <s v="Remy Monet"/>
  </r>
  <r>
    <x v="74"/>
    <d v="2022-11-23T00:00:00"/>
    <x v="4"/>
    <n v="9.95"/>
    <x v="4"/>
    <s v="Drive-thru "/>
    <x v="2"/>
    <s v="Remy Monet"/>
    <s v="Paris"/>
    <x v="4"/>
    <s v="Remy Monet"/>
  </r>
  <r>
    <x v="75"/>
    <d v="2022-11-23T00:00:00"/>
    <x v="0"/>
    <n v="3.49"/>
    <x v="11"/>
    <s v="Drive-thru "/>
    <x v="2"/>
    <s v="Joao Silva"/>
    <s v="Lisbon"/>
    <x v="13"/>
    <s v="Joao Silva"/>
  </r>
  <r>
    <x v="76"/>
    <d v="2022-11-23T00:00:00"/>
    <x v="1"/>
    <n v="2.95"/>
    <x v="1"/>
    <s v="Drive-thru "/>
    <x v="2"/>
    <s v="Joao Silva"/>
    <s v="Lisbon"/>
    <x v="1"/>
    <s v="Joao Silva"/>
  </r>
  <r>
    <x v="77"/>
    <d v="2022-11-23T00:00:00"/>
    <x v="2"/>
    <n v="4.99"/>
    <x v="2"/>
    <s v="Drive-thru "/>
    <x v="2"/>
    <s v="Pablo Perez"/>
    <s v="Madrid"/>
    <x v="2"/>
    <s v="Pablo Perez"/>
  </r>
  <r>
    <x v="78"/>
    <d v="2022-11-24T00:00:00"/>
    <x v="3"/>
    <n v="12.99"/>
    <x v="12"/>
    <s v="Drive-thru "/>
    <x v="1"/>
    <s v="Pablo Perez"/>
    <s v="Madrid"/>
    <x v="14"/>
    <s v="Pablo Perez"/>
  </r>
  <r>
    <x v="79"/>
    <d v="2022-11-24T00:00:00"/>
    <x v="4"/>
    <n v="9.95"/>
    <x v="4"/>
    <s v="Drive-thru "/>
    <x v="1"/>
    <s v="Pablo Perez"/>
    <s v="Madrid"/>
    <x v="4"/>
    <s v="Pablo Perez"/>
  </r>
  <r>
    <x v="80"/>
    <d v="2022-11-25T00:00:00"/>
    <x v="3"/>
    <n v="12.99"/>
    <x v="14"/>
    <s v="Drive-thru "/>
    <x v="1"/>
    <s v="Pablo Perez"/>
    <s v="Madrid"/>
    <x v="16"/>
    <s v="Pablo Perez"/>
  </r>
  <r>
    <x v="81"/>
    <d v="2022-11-25T00:00:00"/>
    <x v="4"/>
    <n v="9.95"/>
    <x v="4"/>
    <s v="Drive-thru "/>
    <x v="1"/>
    <s v="Tom Jackson"/>
    <s v="London"/>
    <x v="4"/>
    <s v="Tom Jackson"/>
  </r>
  <r>
    <x v="82"/>
    <d v="2022-11-25T00:00:00"/>
    <x v="0"/>
    <n v="3.49"/>
    <x v="7"/>
    <s v="Drive-thru "/>
    <x v="1"/>
    <s v="Tom Jackson"/>
    <s v="London"/>
    <x v="7"/>
    <s v="Tom Jackson"/>
  </r>
  <r>
    <x v="83"/>
    <d v="2022-11-25T00:00:00"/>
    <x v="1"/>
    <n v="2.95"/>
    <x v="1"/>
    <s v="Drive-thru "/>
    <x v="1"/>
    <s v="Tom Jackson"/>
    <s v="London"/>
    <x v="1"/>
    <s v="Tom Jackson"/>
  </r>
  <r>
    <x v="84"/>
    <d v="2022-11-25T00:00:00"/>
    <x v="2"/>
    <n v="4.99"/>
    <x v="2"/>
    <s v="Drive-thru "/>
    <x v="1"/>
    <s v="Tom Jackson"/>
    <s v="London"/>
    <x v="2"/>
    <s v="Tom Jackson"/>
  </r>
  <r>
    <x v="85"/>
    <d v="2022-11-26T00:00:00"/>
    <x v="3"/>
    <n v="12.99"/>
    <x v="15"/>
    <s v="Drive-thru "/>
    <x v="1"/>
    <s v="Tom Jackson"/>
    <s v="London"/>
    <x v="17"/>
    <s v="Tom Jackson"/>
  </r>
  <r>
    <x v="86"/>
    <d v="2022-11-26T00:00:00"/>
    <x v="4"/>
    <n v="9.95"/>
    <x v="4"/>
    <s v="Drive-thru "/>
    <x v="1"/>
    <s v="Tom Jackson"/>
    <s v="London"/>
    <x v="4"/>
    <s v="Tom Jackson"/>
  </r>
  <r>
    <x v="87"/>
    <d v="2022-11-26T00:00:00"/>
    <x v="0"/>
    <n v="3.49"/>
    <x v="7"/>
    <s v="Drive-thru "/>
    <x v="1"/>
    <s v="Tom Jackson"/>
    <s v="London"/>
    <x v="7"/>
    <s v="Tom Jackson"/>
  </r>
  <r>
    <x v="88"/>
    <d v="2022-11-26T00:00:00"/>
    <x v="1"/>
    <n v="2.95"/>
    <x v="1"/>
    <s v="Drive-thru "/>
    <x v="1"/>
    <s v="Tom Jackson"/>
    <s v="London"/>
    <x v="1"/>
    <s v="Tom Jackson"/>
  </r>
  <r>
    <x v="89"/>
    <d v="2022-11-26T00:00:00"/>
    <x v="2"/>
    <n v="4.99"/>
    <x v="2"/>
    <s v="Drive-thru "/>
    <x v="1"/>
    <s v="Tom Jackson"/>
    <s v="London"/>
    <x v="2"/>
    <s v="Tom Jackson"/>
  </r>
  <r>
    <x v="90"/>
    <d v="2022-11-27T00:00:00"/>
    <x v="3"/>
    <n v="12.99"/>
    <x v="14"/>
    <s v="Drive-thru "/>
    <x v="1"/>
    <s v="Tom Jackson"/>
    <s v="London"/>
    <x v="16"/>
    <s v="Tom Jackson"/>
  </r>
  <r>
    <x v="91"/>
    <d v="2022-11-27T00:00:00"/>
    <x v="4"/>
    <n v="9.95"/>
    <x v="4"/>
    <s v="Drive-thru "/>
    <x v="1"/>
    <s v="Tom Jackson"/>
    <s v="London"/>
    <x v="4"/>
    <s v="Tom Jackson"/>
  </r>
  <r>
    <x v="92"/>
    <d v="2022-11-27T00:00:00"/>
    <x v="0"/>
    <n v="3.49"/>
    <x v="7"/>
    <s v="Online "/>
    <x v="1"/>
    <s v="Tom Jackson"/>
    <s v="London"/>
    <x v="7"/>
    <s v="Tom Jackson"/>
  </r>
  <r>
    <x v="93"/>
    <d v="2022-11-27T00:00:00"/>
    <x v="1"/>
    <n v="2.95"/>
    <x v="1"/>
    <s v="Online "/>
    <x v="1"/>
    <s v="Tom Jackson"/>
    <s v="London"/>
    <x v="1"/>
    <s v="Tom Jackson"/>
  </r>
  <r>
    <x v="94"/>
    <d v="2022-11-27T00:00:00"/>
    <x v="2"/>
    <n v="4.99"/>
    <x v="2"/>
    <s v="Online "/>
    <x v="1"/>
    <s v="Tom Jackson"/>
    <s v="London"/>
    <x v="2"/>
    <s v="Tom Jackson"/>
  </r>
  <r>
    <x v="95"/>
    <d v="2022-11-28T00:00:00"/>
    <x v="3"/>
    <n v="12.99"/>
    <x v="12"/>
    <s v="Online "/>
    <x v="1"/>
    <s v="Tom Jackson"/>
    <s v="London"/>
    <x v="14"/>
    <s v="Tom Jackson"/>
  </r>
  <r>
    <x v="96"/>
    <d v="2022-11-28T00:00:00"/>
    <x v="4"/>
    <n v="9.95"/>
    <x v="4"/>
    <s v="Online "/>
    <x v="1"/>
    <s v="Tom Jackson"/>
    <s v="London"/>
    <x v="4"/>
    <s v="Tom Jackson"/>
  </r>
  <r>
    <x v="97"/>
    <d v="2022-11-28T00:00:00"/>
    <x v="0"/>
    <n v="3.49"/>
    <x v="7"/>
    <s v="Online "/>
    <x v="1"/>
    <s v="Tom Jackson"/>
    <s v="London"/>
    <x v="7"/>
    <s v="Tom Jackson"/>
  </r>
  <r>
    <x v="98"/>
    <d v="2022-11-28T00:00:00"/>
    <x v="1"/>
    <n v="2.95"/>
    <x v="6"/>
    <s v="Online "/>
    <x v="1"/>
    <s v="Tom Jackson"/>
    <s v="London"/>
    <x v="6"/>
    <s v="Tom Jackson"/>
  </r>
  <r>
    <x v="99"/>
    <d v="2022-11-28T00:00:00"/>
    <x v="2"/>
    <n v="4.99"/>
    <x v="2"/>
    <s v="Online "/>
    <x v="1"/>
    <s v="Tom Jackson"/>
    <s v="London"/>
    <x v="2"/>
    <s v="Tom Jackson"/>
  </r>
  <r>
    <x v="100"/>
    <d v="2022-11-29T00:00:00"/>
    <x v="3"/>
    <n v="12.99"/>
    <x v="12"/>
    <s v="Online "/>
    <x v="1"/>
    <s v="Tom Jackson"/>
    <s v="London"/>
    <x v="14"/>
    <s v="Tom Jackson"/>
  </r>
  <r>
    <x v="101"/>
    <d v="2022-11-29T00:00:00"/>
    <x v="4"/>
    <n v="9.95"/>
    <x v="4"/>
    <s v="Online "/>
    <x v="1"/>
    <s v="Tom Jackson"/>
    <s v="London"/>
    <x v="4"/>
    <s v="Tom Jackson"/>
  </r>
  <r>
    <x v="102"/>
    <d v="2022-11-29T00:00:00"/>
    <x v="0"/>
    <n v="3.49"/>
    <x v="7"/>
    <s v="Online "/>
    <x v="1"/>
    <s v="Tom Jackson"/>
    <s v="London"/>
    <x v="7"/>
    <s v="Tom Jackson"/>
  </r>
  <r>
    <x v="103"/>
    <d v="2022-11-29T00:00:00"/>
    <x v="1"/>
    <n v="2.95"/>
    <x v="6"/>
    <s v="Online "/>
    <x v="1"/>
    <s v="Tom Jackson"/>
    <s v="London"/>
    <x v="6"/>
    <s v="Tom Jackson"/>
  </r>
  <r>
    <x v="104"/>
    <d v="2022-11-29T00:00:00"/>
    <x v="2"/>
    <n v="4.99"/>
    <x v="2"/>
    <s v="Online "/>
    <x v="1"/>
    <s v="Tom Jackson"/>
    <s v="London"/>
    <x v="2"/>
    <s v="Tom Jackson"/>
  </r>
  <r>
    <x v="105"/>
    <d v="2022-11-30T00:00:00"/>
    <x v="3"/>
    <n v="12.99"/>
    <x v="13"/>
    <s v="Online "/>
    <x v="1"/>
    <s v="Tom Jackson"/>
    <s v="London"/>
    <x v="15"/>
    <s v="Tom Jackson"/>
  </r>
  <r>
    <x v="106"/>
    <d v="2022-11-30T00:00:00"/>
    <x v="4"/>
    <n v="9.95"/>
    <x v="4"/>
    <s v="Online "/>
    <x v="1"/>
    <s v="Tom Jackson"/>
    <s v="London"/>
    <x v="4"/>
    <s v="Tom Jackson"/>
  </r>
  <r>
    <x v="107"/>
    <d v="2022-11-30T00:00:00"/>
    <x v="0"/>
    <n v="3.49"/>
    <x v="7"/>
    <s v="Online "/>
    <x v="1"/>
    <s v="Tom Jackson"/>
    <s v="London"/>
    <x v="7"/>
    <s v="Tom Jackson"/>
  </r>
  <r>
    <x v="108"/>
    <d v="2022-11-30T00:00:00"/>
    <x v="1"/>
    <n v="2.95"/>
    <x v="6"/>
    <s v="Online "/>
    <x v="1"/>
    <s v="Tom Jackson"/>
    <s v="London"/>
    <x v="6"/>
    <s v="Tom Jackson"/>
  </r>
  <r>
    <x v="109"/>
    <d v="2022-11-30T00:00:00"/>
    <x v="2"/>
    <n v="4.99"/>
    <x v="2"/>
    <s v="Online "/>
    <x v="1"/>
    <s v="Tom Jackson"/>
    <s v="London"/>
    <x v="2"/>
    <s v="Tom Jackson"/>
  </r>
  <r>
    <x v="110"/>
    <d v="2022-12-01T00:00:00"/>
    <x v="3"/>
    <n v="12.99"/>
    <x v="13"/>
    <s v="Online "/>
    <x v="1"/>
    <s v="Tom Jackson"/>
    <s v="London"/>
    <x v="15"/>
    <s v="Tom Jackson"/>
  </r>
  <r>
    <x v="111"/>
    <d v="2022-12-01T00:00:00"/>
    <x v="4"/>
    <n v="9.95"/>
    <x v="4"/>
    <s v="Online "/>
    <x v="1"/>
    <s v="Tom Jackson"/>
    <s v="London"/>
    <x v="4"/>
    <s v="Tom Jackson"/>
  </r>
  <r>
    <x v="112"/>
    <d v="2022-12-01T00:00:00"/>
    <x v="0"/>
    <n v="3.49"/>
    <x v="0"/>
    <s v="Online "/>
    <x v="1"/>
    <s v="Remy Monet"/>
    <s v="Paris"/>
    <x v="0"/>
    <s v="Remy Monet"/>
  </r>
  <r>
    <x v="113"/>
    <d v="2022-12-01T00:00:00"/>
    <x v="1"/>
    <n v="2.95"/>
    <x v="6"/>
    <s v="Online "/>
    <x v="1"/>
    <s v="Remy Monet"/>
    <s v="Paris"/>
    <x v="6"/>
    <s v="Remy Monet"/>
  </r>
  <r>
    <x v="114"/>
    <d v="2022-12-01T00:00:00"/>
    <x v="2"/>
    <n v="4.99"/>
    <x v="2"/>
    <s v="Online "/>
    <x v="1"/>
    <s v="Remy Monet"/>
    <s v="Paris"/>
    <x v="2"/>
    <s v="Remy Monet"/>
  </r>
  <r>
    <x v="115"/>
    <d v="2022-12-02T00:00:00"/>
    <x v="3"/>
    <n v="12.99"/>
    <x v="8"/>
    <s v="Online "/>
    <x v="1"/>
    <s v="Remy Monet"/>
    <s v="Paris"/>
    <x v="8"/>
    <s v="Remy Monet"/>
  </r>
  <r>
    <x v="116"/>
    <d v="2022-12-02T00:00:00"/>
    <x v="4"/>
    <n v="9.95"/>
    <x v="4"/>
    <s v="Online "/>
    <x v="1"/>
    <s v="Remy Monet"/>
    <s v="Paris"/>
    <x v="4"/>
    <s v="Remy Monet"/>
  </r>
  <r>
    <x v="117"/>
    <d v="2022-12-02T00:00:00"/>
    <x v="0"/>
    <n v="3.49"/>
    <x v="7"/>
    <s v="Online "/>
    <x v="1"/>
    <s v="Remy Monet"/>
    <s v="Paris"/>
    <x v="7"/>
    <s v="Remy Monet"/>
  </r>
  <r>
    <x v="118"/>
    <d v="2022-12-02T00:00:00"/>
    <x v="1"/>
    <n v="2.95"/>
    <x v="6"/>
    <s v="Online "/>
    <x v="1"/>
    <s v="Remy Monet"/>
    <s v="Paris"/>
    <x v="6"/>
    <s v="Remy Monet"/>
  </r>
  <r>
    <x v="119"/>
    <d v="2022-12-02T00:00:00"/>
    <x v="2"/>
    <n v="4.99"/>
    <x v="2"/>
    <s v="Online "/>
    <x v="1"/>
    <s v="Remy Monet"/>
    <s v="Paris"/>
    <x v="2"/>
    <s v="Remy Monet"/>
  </r>
  <r>
    <x v="120"/>
    <d v="2022-12-03T00:00:00"/>
    <x v="3"/>
    <n v="12.99"/>
    <x v="8"/>
    <s v="Online "/>
    <x v="1"/>
    <s v="Remy Monet"/>
    <s v="Paris"/>
    <x v="8"/>
    <s v="Remy Monet"/>
  </r>
  <r>
    <x v="121"/>
    <d v="2022-12-03T00:00:00"/>
    <x v="4"/>
    <n v="9.95"/>
    <x v="4"/>
    <s v="Online "/>
    <x v="1"/>
    <s v="Remy Monet"/>
    <s v="Paris"/>
    <x v="4"/>
    <s v="Remy Monet"/>
  </r>
  <r>
    <x v="122"/>
    <d v="2022-12-03T00:00:00"/>
    <x v="0"/>
    <n v="3.49"/>
    <x v="7"/>
    <s v="Online "/>
    <x v="1"/>
    <s v="Tom Jackson"/>
    <s v="London"/>
    <x v="7"/>
    <s v="Tom Jackson"/>
  </r>
  <r>
    <x v="123"/>
    <d v="2022-12-03T00:00:00"/>
    <x v="1"/>
    <n v="2.95"/>
    <x v="6"/>
    <s v="Online "/>
    <x v="1"/>
    <s v="Tom Jackson"/>
    <s v="London"/>
    <x v="6"/>
    <s v="Tom Jackson"/>
  </r>
  <r>
    <x v="124"/>
    <d v="2022-12-03T00:00:00"/>
    <x v="2"/>
    <n v="4.99"/>
    <x v="2"/>
    <s v="Online "/>
    <x v="1"/>
    <s v="Tom Jackson"/>
    <s v="London"/>
    <x v="2"/>
    <s v="Tom Jackson"/>
  </r>
  <r>
    <x v="125"/>
    <d v="2022-12-04T00:00:00"/>
    <x v="3"/>
    <n v="12.99"/>
    <x v="10"/>
    <s v="Online "/>
    <x v="1"/>
    <s v="Tom Jackson"/>
    <s v="London"/>
    <x v="12"/>
    <s v="Tom Jackson"/>
  </r>
  <r>
    <x v="126"/>
    <d v="2022-12-04T00:00:00"/>
    <x v="4"/>
    <n v="9.95"/>
    <x v="4"/>
    <s v="Online "/>
    <x v="1"/>
    <s v="Tom Jackson"/>
    <s v="London"/>
    <x v="4"/>
    <s v="Tom Jackson"/>
  </r>
  <r>
    <x v="127"/>
    <d v="2022-11-24T00:00:00"/>
    <x v="0"/>
    <n v="3.49"/>
    <x v="7"/>
    <s v="Drive-thru "/>
    <x v="1"/>
    <s v="Pablo Perez"/>
    <s v="Madrid"/>
    <x v="7"/>
    <s v="Pablo Perez"/>
  </r>
  <r>
    <x v="128"/>
    <d v="2022-11-24T00:00:00"/>
    <x v="1"/>
    <n v="2.95"/>
    <x v="1"/>
    <s v="Drive-thru "/>
    <x v="1"/>
    <s v="Pablo Perez"/>
    <s v="Madrid"/>
    <x v="1"/>
    <s v="Pablo Perez"/>
  </r>
  <r>
    <x v="129"/>
    <d v="2022-11-24T00:00:00"/>
    <x v="2"/>
    <n v="4.99"/>
    <x v="2"/>
    <s v="Drive-thru "/>
    <x v="1"/>
    <s v="Pablo Perez"/>
    <s v="Madrid"/>
    <x v="2"/>
    <s v="Pablo Perez"/>
  </r>
  <r>
    <x v="130"/>
    <d v="2022-12-05T00:00:00"/>
    <x v="3"/>
    <n v="12.99"/>
    <x v="5"/>
    <s v="Online "/>
    <x v="1"/>
    <s v="Tom Jackson"/>
    <s v="London"/>
    <x v="5"/>
    <s v="Tom Jackson"/>
  </r>
  <r>
    <x v="131"/>
    <d v="2022-12-05T00:00:00"/>
    <x v="4"/>
    <n v="9.95"/>
    <x v="4"/>
    <s v="Online "/>
    <x v="1"/>
    <s v="Tom Jackson"/>
    <s v="London"/>
    <x v="4"/>
    <s v="Tom Jackson"/>
  </r>
  <r>
    <x v="132"/>
    <d v="2022-12-05T00:00:00"/>
    <x v="0"/>
    <n v="3.49"/>
    <x v="0"/>
    <s v="Online "/>
    <x v="1"/>
    <s v="Tom Jackson"/>
    <s v="London"/>
    <x v="0"/>
    <s v="Tom Jackson"/>
  </r>
  <r>
    <x v="133"/>
    <d v="2022-12-05T00:00:00"/>
    <x v="1"/>
    <n v="2.95"/>
    <x v="6"/>
    <s v="Online "/>
    <x v="1"/>
    <s v="Tom Jackson"/>
    <s v="London"/>
    <x v="6"/>
    <s v="Tom Jackson"/>
  </r>
  <r>
    <x v="134"/>
    <d v="2022-12-05T00:00:00"/>
    <x v="2"/>
    <n v="4.99"/>
    <x v="2"/>
    <s v="Online "/>
    <x v="1"/>
    <s v="Tom Jackson"/>
    <s v="London"/>
    <x v="2"/>
    <s v="Tom Jackson"/>
  </r>
  <r>
    <x v="135"/>
    <d v="2022-12-06T00:00:00"/>
    <x v="3"/>
    <n v="12.99"/>
    <x v="10"/>
    <s v="Online "/>
    <x v="1"/>
    <s v="Tom Jackson"/>
    <s v="London"/>
    <x v="12"/>
    <s v="Tom Jackson"/>
  </r>
  <r>
    <x v="136"/>
    <d v="2022-12-06T00:00:00"/>
    <x v="4"/>
    <n v="9.95"/>
    <x v="4"/>
    <s v="Online "/>
    <x v="1"/>
    <s v="Tom Jackson"/>
    <s v="London"/>
    <x v="4"/>
    <s v="Tom Jackson"/>
  </r>
  <r>
    <x v="137"/>
    <d v="2022-12-06T00:00:00"/>
    <x v="0"/>
    <n v="3.49"/>
    <x v="0"/>
    <s v="Online "/>
    <x v="1"/>
    <s v="Tom Jackson"/>
    <s v="London"/>
    <x v="0"/>
    <s v="Tom Jackson"/>
  </r>
  <r>
    <x v="138"/>
    <d v="2022-12-06T00:00:00"/>
    <x v="1"/>
    <n v="2.95"/>
    <x v="6"/>
    <s v="Online "/>
    <x v="1"/>
    <s v="Tom Jackson"/>
    <s v="London"/>
    <x v="6"/>
    <s v="Tom Jackson"/>
  </r>
  <r>
    <x v="139"/>
    <d v="2022-12-06T00:00:00"/>
    <x v="2"/>
    <n v="4.99"/>
    <x v="2"/>
    <s v="Online "/>
    <x v="1"/>
    <s v="Tom Jackson"/>
    <s v="London"/>
    <x v="2"/>
    <s v="Tom Jackson"/>
  </r>
  <r>
    <x v="140"/>
    <d v="2022-12-07T00:00:00"/>
    <x v="3"/>
    <n v="12.99"/>
    <x v="8"/>
    <s v="Online "/>
    <x v="1"/>
    <s v="Tom Jackson"/>
    <s v="London"/>
    <x v="8"/>
    <s v="Tom Jackson"/>
  </r>
  <r>
    <x v="141"/>
    <d v="2022-12-07T00:00:00"/>
    <x v="4"/>
    <n v="9.95"/>
    <x v="4"/>
    <s v="Online "/>
    <x v="1"/>
    <s v="Tom Jackson"/>
    <s v="London"/>
    <x v="4"/>
    <s v="Tom Jackson"/>
  </r>
  <r>
    <x v="142"/>
    <d v="2022-12-07T00:00:00"/>
    <x v="0"/>
    <n v="3.49"/>
    <x v="7"/>
    <s v="Online "/>
    <x v="2"/>
    <s v="Tom Jackson"/>
    <s v="London"/>
    <x v="7"/>
    <s v="Tom Jackson"/>
  </r>
  <r>
    <x v="143"/>
    <d v="2022-12-07T00:00:00"/>
    <x v="1"/>
    <n v="2.95"/>
    <x v="6"/>
    <s v="Online "/>
    <x v="2"/>
    <s v="Tom Jackson"/>
    <s v="London"/>
    <x v="6"/>
    <s v="Tom Jackson"/>
  </r>
  <r>
    <x v="144"/>
    <d v="2022-12-07T00:00:00"/>
    <x v="2"/>
    <n v="4.99"/>
    <x v="2"/>
    <s v="Online "/>
    <x v="2"/>
    <s v="Tom Jackson"/>
    <s v="London"/>
    <x v="2"/>
    <s v="Tom Jackson"/>
  </r>
  <r>
    <x v="145"/>
    <d v="2022-12-08T00:00:00"/>
    <x v="3"/>
    <n v="12.99"/>
    <x v="10"/>
    <s v="Online "/>
    <x v="2"/>
    <s v="Tom Jackson"/>
    <s v="London"/>
    <x v="12"/>
    <s v="Tom Jackson"/>
  </r>
  <r>
    <x v="146"/>
    <d v="2022-12-08T00:00:00"/>
    <x v="4"/>
    <n v="9.95"/>
    <x v="4"/>
    <s v="Online "/>
    <x v="2"/>
    <s v="Tom Jackson"/>
    <s v="London"/>
    <x v="4"/>
    <s v="Tom Jackson"/>
  </r>
  <r>
    <x v="147"/>
    <d v="2022-12-08T00:00:00"/>
    <x v="0"/>
    <n v="3.49"/>
    <x v="7"/>
    <s v="Online "/>
    <x v="2"/>
    <s v="Tom Jackson"/>
    <s v="London"/>
    <x v="7"/>
    <s v="Tom Jackson"/>
  </r>
  <r>
    <x v="148"/>
    <d v="2022-12-08T00:00:00"/>
    <x v="1"/>
    <n v="2.95"/>
    <x v="6"/>
    <s v="Online "/>
    <x v="0"/>
    <s v="Tom Jackson"/>
    <s v="London"/>
    <x v="6"/>
    <s v="Tom Jackson"/>
  </r>
  <r>
    <x v="149"/>
    <d v="2022-12-08T00:00:00"/>
    <x v="2"/>
    <n v="4.99"/>
    <x v="2"/>
    <s v="Online "/>
    <x v="0"/>
    <s v="Tom Jackson"/>
    <s v="London"/>
    <x v="2"/>
    <s v="Tom Jackson"/>
  </r>
  <r>
    <x v="150"/>
    <d v="2022-12-09T00:00:00"/>
    <x v="3"/>
    <n v="12.99"/>
    <x v="3"/>
    <s v="Online "/>
    <x v="0"/>
    <s v="Tom Jackson"/>
    <s v="London"/>
    <x v="3"/>
    <s v="Tom Jackson"/>
  </r>
  <r>
    <x v="151"/>
    <d v="2022-12-09T00:00:00"/>
    <x v="4"/>
    <n v="9.95"/>
    <x v="4"/>
    <s v="Online "/>
    <x v="0"/>
    <s v="Tom Jackson"/>
    <s v="London"/>
    <x v="4"/>
    <s v="Tom Jackson"/>
  </r>
  <r>
    <x v="152"/>
    <d v="2022-12-09T00:00:00"/>
    <x v="0"/>
    <n v="3.49"/>
    <x v="7"/>
    <s v="Online "/>
    <x v="0"/>
    <s v="Tom Jackson"/>
    <s v="London"/>
    <x v="7"/>
    <s v="Tom Jackson"/>
  </r>
  <r>
    <x v="153"/>
    <d v="2022-12-09T00:00:00"/>
    <x v="1"/>
    <n v="2.95"/>
    <x v="6"/>
    <s v="Online "/>
    <x v="0"/>
    <s v="Tom Jackson"/>
    <s v="London"/>
    <x v="6"/>
    <s v="Tom Jackson"/>
  </r>
  <r>
    <x v="154"/>
    <d v="2022-12-09T00:00:00"/>
    <x v="2"/>
    <n v="4.99"/>
    <x v="2"/>
    <s v="Online "/>
    <x v="0"/>
    <s v="Tom Jackson"/>
    <s v="London"/>
    <x v="2"/>
    <s v="Tom Jackson"/>
  </r>
  <r>
    <x v="155"/>
    <d v="2022-12-10T00:00:00"/>
    <x v="3"/>
    <n v="12.99"/>
    <x v="3"/>
    <s v="Online "/>
    <x v="0"/>
    <s v="Tom Jackson"/>
    <s v="London"/>
    <x v="3"/>
    <s v="Tom Jackson"/>
  </r>
  <r>
    <x v="156"/>
    <d v="2022-12-10T00:00:00"/>
    <x v="4"/>
    <n v="9.95"/>
    <x v="4"/>
    <s v="Online "/>
    <x v="0"/>
    <s v="Tom Jackson"/>
    <s v="London"/>
    <x v="4"/>
    <s v="Tom Jackson"/>
  </r>
  <r>
    <x v="157"/>
    <d v="2022-12-10T00:00:00"/>
    <x v="0"/>
    <n v="3.49"/>
    <x v="7"/>
    <s v="Online "/>
    <x v="0"/>
    <s v="Tom Jackson"/>
    <s v="London"/>
    <x v="7"/>
    <s v="Tom Jackson"/>
  </r>
  <r>
    <x v="158"/>
    <d v="2022-12-10T00:00:00"/>
    <x v="1"/>
    <n v="2.95"/>
    <x v="6"/>
    <s v="Online "/>
    <x v="0"/>
    <s v="Tom Jackson"/>
    <s v="London"/>
    <x v="6"/>
    <s v="Tom Jackson"/>
  </r>
  <r>
    <x v="159"/>
    <d v="2022-12-10T00:00:00"/>
    <x v="2"/>
    <n v="4.99"/>
    <x v="2"/>
    <s v="Online "/>
    <x v="0"/>
    <s v="Tom Jackson"/>
    <s v="London"/>
    <x v="2"/>
    <s v="Tom Jackson"/>
  </r>
  <r>
    <x v="160"/>
    <d v="2022-12-11T00:00:00"/>
    <x v="3"/>
    <n v="12.99"/>
    <x v="16"/>
    <s v="Online "/>
    <x v="0"/>
    <s v="Tom Jackson"/>
    <s v="London"/>
    <x v="18"/>
    <s v="Tom Jackson"/>
  </r>
  <r>
    <x v="161"/>
    <d v="2022-12-11T00:00:00"/>
    <x v="4"/>
    <n v="9.95"/>
    <x v="4"/>
    <s v="Online "/>
    <x v="0"/>
    <s v="Tom Jackson"/>
    <s v="London"/>
    <x v="4"/>
    <s v="Tom Jackson"/>
  </r>
  <r>
    <x v="162"/>
    <d v="2022-12-11T00:00:00"/>
    <x v="0"/>
    <n v="3.49"/>
    <x v="7"/>
    <s v="Online "/>
    <x v="0"/>
    <s v="Tom Jackson"/>
    <s v="London"/>
    <x v="7"/>
    <s v="Tom Jackson"/>
  </r>
  <r>
    <x v="163"/>
    <d v="2022-12-11T00:00:00"/>
    <x v="1"/>
    <n v="2.95"/>
    <x v="1"/>
    <s v="Online "/>
    <x v="0"/>
    <s v="Tom Jackson"/>
    <s v="London"/>
    <x v="1"/>
    <s v="Tom Jackson"/>
  </r>
  <r>
    <x v="164"/>
    <d v="2022-12-11T00:00:00"/>
    <x v="2"/>
    <n v="4.99"/>
    <x v="2"/>
    <s v="Online "/>
    <x v="0"/>
    <s v="Tom Jackson"/>
    <s v="London"/>
    <x v="2"/>
    <s v="Tom Jackson"/>
  </r>
  <r>
    <x v="165"/>
    <d v="2022-12-12T00:00:00"/>
    <x v="3"/>
    <n v="12.99"/>
    <x v="3"/>
    <s v="Online "/>
    <x v="0"/>
    <s v="Tom Jackson"/>
    <s v="London"/>
    <x v="3"/>
    <s v="Tom Jackson"/>
  </r>
  <r>
    <x v="166"/>
    <d v="2022-12-12T00:00:00"/>
    <x v="4"/>
    <n v="9.95"/>
    <x v="4"/>
    <s v="Online "/>
    <x v="0"/>
    <s v="Tom Jackson"/>
    <s v="London"/>
    <x v="4"/>
    <s v="Tom Jackson"/>
  </r>
  <r>
    <x v="167"/>
    <d v="2022-12-12T00:00:00"/>
    <x v="0"/>
    <n v="3.49"/>
    <x v="7"/>
    <s v="Online "/>
    <x v="0"/>
    <s v="Tom Jackson"/>
    <s v="London"/>
    <x v="7"/>
    <s v="Tom Jackson"/>
  </r>
  <r>
    <x v="168"/>
    <d v="2022-12-12T00:00:00"/>
    <x v="1"/>
    <n v="2.95"/>
    <x v="6"/>
    <s v="Online "/>
    <x v="0"/>
    <s v="Joao Silva"/>
    <s v="Lisbon"/>
    <x v="6"/>
    <s v="Joao Silva"/>
  </r>
  <r>
    <x v="169"/>
    <d v="2022-12-12T00:00:00"/>
    <x v="2"/>
    <n v="4.99"/>
    <x v="2"/>
    <s v="Online "/>
    <x v="0"/>
    <s v="Joao Silva"/>
    <s v="Lisbon"/>
    <x v="2"/>
    <s v="Joao Silva"/>
  </r>
  <r>
    <x v="170"/>
    <d v="2022-12-13T00:00:00"/>
    <x v="3"/>
    <n v="12.99"/>
    <x v="3"/>
    <s v="Online "/>
    <x v="2"/>
    <s v="Joao Silva"/>
    <s v="Lisbon"/>
    <x v="3"/>
    <s v="Joao Silva"/>
  </r>
  <r>
    <x v="171"/>
    <d v="2022-12-13T00:00:00"/>
    <x v="4"/>
    <n v="9.95"/>
    <x v="4"/>
    <s v="Online "/>
    <x v="0"/>
    <s v="Joao Silva"/>
    <s v="Lisbon"/>
    <x v="4"/>
    <s v="Joao Silva"/>
  </r>
  <r>
    <x v="172"/>
    <d v="2022-12-13T00:00:00"/>
    <x v="0"/>
    <n v="3.49"/>
    <x v="7"/>
    <s v="Online "/>
    <x v="0"/>
    <s v="Joao Silva"/>
    <s v="Lisbon"/>
    <x v="7"/>
    <s v="Joao Silva"/>
  </r>
  <r>
    <x v="173"/>
    <d v="2022-12-13T00:00:00"/>
    <x v="1"/>
    <n v="2.95"/>
    <x v="6"/>
    <s v="Online "/>
    <x v="0"/>
    <s v="Joao Silva"/>
    <s v="Lisbon"/>
    <x v="6"/>
    <s v="Joao Silva"/>
  </r>
  <r>
    <x v="174"/>
    <d v="2022-12-13T00:00:00"/>
    <x v="2"/>
    <n v="4.99"/>
    <x v="2"/>
    <s v="Online "/>
    <x v="0"/>
    <s v="Joao Silva"/>
    <s v="Lisbon"/>
    <x v="2"/>
    <s v="Joao Silva"/>
  </r>
  <r>
    <x v="175"/>
    <d v="2022-12-14T00:00:00"/>
    <x v="3"/>
    <n v="12.99"/>
    <x v="5"/>
    <s v="Online "/>
    <x v="0"/>
    <s v="Joao Silva"/>
    <s v="Lisbon"/>
    <x v="5"/>
    <s v="Joao Silva"/>
  </r>
  <r>
    <x v="176"/>
    <d v="2022-12-14T00:00:00"/>
    <x v="4"/>
    <n v="9.95"/>
    <x v="17"/>
    <s v="Online "/>
    <x v="0"/>
    <s v="Joao Silva"/>
    <s v="Lisbon"/>
    <x v="19"/>
    <s v="Joao Silva"/>
  </r>
  <r>
    <x v="177"/>
    <d v="2022-12-14T00:00:00"/>
    <x v="0"/>
    <n v="3.49"/>
    <x v="7"/>
    <s v="Online "/>
    <x v="0"/>
    <s v="Joao Silva"/>
    <s v="Lisbon"/>
    <x v="7"/>
    <s v="Joao Silva"/>
  </r>
  <r>
    <x v="178"/>
    <d v="2022-12-14T00:00:00"/>
    <x v="1"/>
    <n v="2.95"/>
    <x v="6"/>
    <s v="Online "/>
    <x v="0"/>
    <s v="Joao Silva"/>
    <s v="Lisbon"/>
    <x v="6"/>
    <s v="Joao Silva"/>
  </r>
  <r>
    <x v="179"/>
    <d v="2022-12-14T00:00:00"/>
    <x v="2"/>
    <n v="4.99"/>
    <x v="2"/>
    <s v="Online "/>
    <x v="0"/>
    <s v="Joao Silva"/>
    <s v="Lisbon"/>
    <x v="2"/>
    <s v="Joao Silva"/>
  </r>
  <r>
    <x v="180"/>
    <d v="2022-12-15T00:00:00"/>
    <x v="3"/>
    <n v="12.99"/>
    <x v="10"/>
    <s v="Online "/>
    <x v="0"/>
    <s v="Joao Silva"/>
    <s v="Lisbon"/>
    <x v="12"/>
    <s v="Joao Silva"/>
  </r>
  <r>
    <x v="181"/>
    <d v="2022-12-15T00:00:00"/>
    <x v="4"/>
    <n v="9.95"/>
    <x v="17"/>
    <s v="Online "/>
    <x v="0"/>
    <s v="Joao Silva"/>
    <s v="Lisbon"/>
    <x v="19"/>
    <s v="Joao Silva"/>
  </r>
  <r>
    <x v="182"/>
    <d v="2022-12-15T00:00:00"/>
    <x v="0"/>
    <n v="3.49"/>
    <x v="7"/>
    <s v="Online "/>
    <x v="2"/>
    <s v="Joao Silva"/>
    <s v="Lisbon"/>
    <x v="7"/>
    <s v="Joao Silva"/>
  </r>
  <r>
    <x v="183"/>
    <d v="2022-12-15T00:00:00"/>
    <x v="1"/>
    <n v="2.95"/>
    <x v="6"/>
    <s v="Online "/>
    <x v="2"/>
    <s v="Joao Silva"/>
    <s v="Lisbon"/>
    <x v="6"/>
    <s v="Joao Silva"/>
  </r>
  <r>
    <x v="184"/>
    <d v="2022-12-15T00:00:00"/>
    <x v="2"/>
    <n v="4.99"/>
    <x v="2"/>
    <s v="Online "/>
    <x v="2"/>
    <s v="Joao Silva"/>
    <s v="Lisbon"/>
    <x v="2"/>
    <s v="Joao Silva"/>
  </r>
  <r>
    <x v="185"/>
    <d v="2022-12-16T00:00:00"/>
    <x v="3"/>
    <n v="12.99"/>
    <x v="3"/>
    <s v="Online "/>
    <x v="2"/>
    <s v="Joao Silva"/>
    <s v="Lisbon"/>
    <x v="3"/>
    <s v="Joao Silva"/>
  </r>
  <r>
    <x v="186"/>
    <d v="2022-12-16T00:00:00"/>
    <x v="4"/>
    <n v="9.95"/>
    <x v="17"/>
    <s v="Online "/>
    <x v="2"/>
    <s v="Joao Silva"/>
    <s v="Lisbon"/>
    <x v="19"/>
    <s v="Joao Silva"/>
  </r>
  <r>
    <x v="187"/>
    <d v="2022-12-16T00:00:00"/>
    <x v="0"/>
    <n v="3.49"/>
    <x v="7"/>
    <s v="Online "/>
    <x v="0"/>
    <s v="Joao Silva"/>
    <s v="Lisbon"/>
    <x v="7"/>
    <s v="Joao Silva"/>
  </r>
  <r>
    <x v="188"/>
    <d v="2022-12-16T00:00:00"/>
    <x v="1"/>
    <n v="2.95"/>
    <x v="1"/>
    <s v="Online "/>
    <x v="0"/>
    <s v="Joao Silva"/>
    <s v="Lisbon"/>
    <x v="1"/>
    <s v="Joao Silva"/>
  </r>
  <r>
    <x v="189"/>
    <d v="2022-12-16T00:00:00"/>
    <x v="2"/>
    <n v="4.99"/>
    <x v="2"/>
    <s v="Online "/>
    <x v="0"/>
    <s v="Joao Silva"/>
    <s v="Lisbon"/>
    <x v="2"/>
    <s v="Joao Silva"/>
  </r>
  <r>
    <x v="190"/>
    <d v="2022-12-17T00:00:00"/>
    <x v="3"/>
    <n v="12.99"/>
    <x v="16"/>
    <s v="Online "/>
    <x v="0"/>
    <s v="Joao Silva"/>
    <s v="Lisbon"/>
    <x v="18"/>
    <s v="Joao Silva"/>
  </r>
  <r>
    <x v="191"/>
    <d v="2022-12-17T00:00:00"/>
    <x v="4"/>
    <n v="9.95"/>
    <x v="17"/>
    <s v="Online "/>
    <x v="0"/>
    <s v="Joao Silva"/>
    <s v="Lisbon"/>
    <x v="19"/>
    <s v="Joao Silva"/>
  </r>
  <r>
    <x v="192"/>
    <d v="2022-12-17T00:00:00"/>
    <x v="0"/>
    <n v="3.49"/>
    <x v="11"/>
    <s v="Online "/>
    <x v="0"/>
    <s v="Joao Silva"/>
    <s v="Lisbon"/>
    <x v="13"/>
    <s v="Joao Silva"/>
  </r>
  <r>
    <x v="193"/>
    <d v="2022-12-17T00:00:00"/>
    <x v="1"/>
    <n v="2.95"/>
    <x v="1"/>
    <s v="Online "/>
    <x v="0"/>
    <s v="Joao Silva"/>
    <s v="Lisbon"/>
    <x v="1"/>
    <s v="Joao Silva"/>
  </r>
  <r>
    <x v="194"/>
    <d v="2022-12-17T00:00:00"/>
    <x v="2"/>
    <n v="4.99"/>
    <x v="2"/>
    <s v="Online "/>
    <x v="0"/>
    <s v="Joao Silva"/>
    <s v="Lisbon"/>
    <x v="2"/>
    <s v="Joao Silva"/>
  </r>
  <r>
    <x v="195"/>
    <d v="2022-12-18T00:00:00"/>
    <x v="3"/>
    <n v="12.99"/>
    <x v="18"/>
    <s v="Online "/>
    <x v="0"/>
    <s v="Joao Silva"/>
    <s v="Lisbon"/>
    <x v="20"/>
    <s v="Joao Silva"/>
  </r>
  <r>
    <x v="196"/>
    <d v="2022-12-18T00:00:00"/>
    <x v="4"/>
    <n v="9.95"/>
    <x v="17"/>
    <s v="Online "/>
    <x v="0"/>
    <s v="Joao Silva"/>
    <s v="Lisbon"/>
    <x v="19"/>
    <s v="Joao Silva"/>
  </r>
  <r>
    <x v="197"/>
    <d v="2022-12-18T00:00:00"/>
    <x v="0"/>
    <n v="3.49"/>
    <x v="11"/>
    <s v="Online "/>
    <x v="0"/>
    <s v="Joao Silva"/>
    <s v="Lisbon"/>
    <x v="13"/>
    <s v="Joao Silva"/>
  </r>
  <r>
    <x v="198"/>
    <d v="2022-12-18T00:00:00"/>
    <x v="1"/>
    <n v="2.95"/>
    <x v="1"/>
    <s v="Online "/>
    <x v="2"/>
    <s v="Joao Silva"/>
    <s v="Lisbon"/>
    <x v="1"/>
    <s v="Joao Silva"/>
  </r>
  <r>
    <x v="199"/>
    <d v="2022-12-18T00:00:00"/>
    <x v="2"/>
    <n v="4.99"/>
    <x v="2"/>
    <s v="Online "/>
    <x v="2"/>
    <s v="Joao Silva"/>
    <s v="Lisbon"/>
    <x v="2"/>
    <s v="Joao Silva"/>
  </r>
  <r>
    <x v="200"/>
    <d v="2022-12-19T00:00:00"/>
    <x v="3"/>
    <n v="12.99"/>
    <x v="19"/>
    <s v="In-store "/>
    <x v="2"/>
    <s v="Joao Silva"/>
    <s v="Lisbon"/>
    <x v="21"/>
    <s v="Joao Silva"/>
  </r>
  <r>
    <x v="201"/>
    <d v="2022-12-19T00:00:00"/>
    <x v="4"/>
    <n v="9.95"/>
    <x v="17"/>
    <s v="In-store "/>
    <x v="2"/>
    <s v="Joao Silva"/>
    <s v="Lisbon"/>
    <x v="19"/>
    <s v="Joao Silva"/>
  </r>
  <r>
    <x v="202"/>
    <d v="2022-12-19T00:00:00"/>
    <x v="0"/>
    <n v="3.49"/>
    <x v="7"/>
    <s v="In-store "/>
    <x v="2"/>
    <s v="Joao Silva"/>
    <s v="Lisbon"/>
    <x v="7"/>
    <s v="Joao Silva"/>
  </r>
  <r>
    <x v="203"/>
    <d v="2022-12-19T00:00:00"/>
    <x v="1"/>
    <n v="2.95"/>
    <x v="1"/>
    <s v="In-store "/>
    <x v="2"/>
    <s v="Joao Silva"/>
    <s v="Lisbon"/>
    <x v="1"/>
    <s v="Joao Silva"/>
  </r>
  <r>
    <x v="204"/>
    <d v="2022-12-19T00:00:00"/>
    <x v="2"/>
    <n v="4.99"/>
    <x v="2"/>
    <s v="In-store "/>
    <x v="2"/>
    <s v="Joao Silva"/>
    <s v="Lisbon"/>
    <x v="2"/>
    <s v="Joao Silva"/>
  </r>
  <r>
    <x v="205"/>
    <d v="2022-12-20T00:00:00"/>
    <x v="3"/>
    <n v="12.99"/>
    <x v="20"/>
    <s v="In-store "/>
    <x v="2"/>
    <s v="Joao Silva"/>
    <s v="Lisbon"/>
    <x v="22"/>
    <s v="Joao Silva"/>
  </r>
  <r>
    <x v="206"/>
    <d v="2022-12-20T00:00:00"/>
    <x v="4"/>
    <n v="9.95"/>
    <x v="17"/>
    <s v="In-store "/>
    <x v="2"/>
    <s v="Joao Silva"/>
    <s v="Lisbon"/>
    <x v="19"/>
    <s v="Joao Silva"/>
  </r>
  <r>
    <x v="207"/>
    <d v="2022-12-20T00:00:00"/>
    <x v="0"/>
    <n v="3.49"/>
    <x v="7"/>
    <s v="In-store "/>
    <x v="2"/>
    <s v="Joao Silva"/>
    <s v="Lisbon"/>
    <x v="7"/>
    <s v="Joao Silva"/>
  </r>
  <r>
    <x v="208"/>
    <d v="2022-12-20T00:00:00"/>
    <x v="1"/>
    <n v="2.95"/>
    <x v="1"/>
    <s v="In-store "/>
    <x v="2"/>
    <s v="Joao Silva"/>
    <s v="Lisbon"/>
    <x v="1"/>
    <s v="Joao Silva"/>
  </r>
  <r>
    <x v="209"/>
    <d v="2022-12-20T00:00:00"/>
    <x v="2"/>
    <n v="4.99"/>
    <x v="2"/>
    <s v="In-store "/>
    <x v="2"/>
    <s v="Joao Silva"/>
    <s v="Lisbon"/>
    <x v="2"/>
    <s v="Joao Silva"/>
  </r>
  <r>
    <x v="210"/>
    <d v="2022-12-21T00:00:00"/>
    <x v="3"/>
    <n v="12.99"/>
    <x v="21"/>
    <s v="In-store "/>
    <x v="2"/>
    <s v="Joao Silva"/>
    <s v="Lisbon"/>
    <x v="23"/>
    <s v="Joao Silva"/>
  </r>
  <r>
    <x v="211"/>
    <d v="2022-12-21T00:00:00"/>
    <x v="4"/>
    <n v="9.95"/>
    <x v="17"/>
    <s v="In-store "/>
    <x v="2"/>
    <s v="Joao Silva"/>
    <s v="Lisbon"/>
    <x v="19"/>
    <s v="Joao Silva"/>
  </r>
  <r>
    <x v="212"/>
    <d v="2022-12-21T00:00:00"/>
    <x v="0"/>
    <n v="3.49"/>
    <x v="7"/>
    <s v="In-store "/>
    <x v="2"/>
    <s v="Joao Silva"/>
    <s v="Lisbon"/>
    <x v="7"/>
    <s v="Joao Silva"/>
  </r>
  <r>
    <x v="213"/>
    <d v="2022-12-21T00:00:00"/>
    <x v="1"/>
    <n v="2.95"/>
    <x v="1"/>
    <s v="In-store "/>
    <x v="2"/>
    <s v="Joao Silva"/>
    <s v="Lisbon"/>
    <x v="1"/>
    <s v="Joao Silva"/>
  </r>
  <r>
    <x v="214"/>
    <d v="2022-12-21T00:00:00"/>
    <x v="2"/>
    <n v="4.99"/>
    <x v="2"/>
    <s v="In-store "/>
    <x v="2"/>
    <s v="Joao Silva"/>
    <s v="Lisbon"/>
    <x v="2"/>
    <s v="Joao Silva"/>
  </r>
  <r>
    <x v="215"/>
    <d v="2022-12-22T00:00:00"/>
    <x v="3"/>
    <n v="12.99"/>
    <x v="21"/>
    <s v="In-store "/>
    <x v="2"/>
    <s v="Joao Silva"/>
    <s v="Lisbon"/>
    <x v="23"/>
    <s v="Joao Silva"/>
  </r>
  <r>
    <x v="216"/>
    <d v="2022-12-22T00:00:00"/>
    <x v="4"/>
    <n v="9.95"/>
    <x v="22"/>
    <s v="In-store "/>
    <x v="2"/>
    <s v="Joao Silva"/>
    <s v="Lisbon"/>
    <x v="24"/>
    <s v="Joao Silva"/>
  </r>
  <r>
    <x v="217"/>
    <d v="2022-12-22T00:00:00"/>
    <x v="0"/>
    <n v="3.49"/>
    <x v="7"/>
    <s v="In-store "/>
    <x v="2"/>
    <s v="Joao Silva"/>
    <s v="Lisbon"/>
    <x v="7"/>
    <s v="Joao Silva"/>
  </r>
  <r>
    <x v="218"/>
    <d v="2022-12-22T00:00:00"/>
    <x v="1"/>
    <n v="2.95"/>
    <x v="1"/>
    <s v="In-store "/>
    <x v="2"/>
    <s v="Joao Silva"/>
    <s v="Lisbon"/>
    <x v="1"/>
    <s v="Joao Silva"/>
  </r>
  <r>
    <x v="219"/>
    <d v="2022-12-22T00:00:00"/>
    <x v="2"/>
    <n v="4.99"/>
    <x v="2"/>
    <s v="In-store "/>
    <x v="2"/>
    <s v="Joao Silva"/>
    <s v="Lisbon"/>
    <x v="2"/>
    <s v="Joao Silva"/>
  </r>
  <r>
    <x v="220"/>
    <d v="2022-12-23T00:00:00"/>
    <x v="3"/>
    <n v="12.99"/>
    <x v="20"/>
    <s v="In-store "/>
    <x v="2"/>
    <s v="Joao Silva"/>
    <s v="Lisbon"/>
    <x v="22"/>
    <s v="Joao Silva"/>
  </r>
  <r>
    <x v="221"/>
    <d v="2022-12-23T00:00:00"/>
    <x v="4"/>
    <n v="9.95"/>
    <x v="22"/>
    <s v="In-store "/>
    <x v="2"/>
    <s v="Joao Silva"/>
    <s v="Lisbon"/>
    <x v="24"/>
    <s v="Joao Silva"/>
  </r>
  <r>
    <x v="222"/>
    <d v="2022-12-23T00:00:00"/>
    <x v="0"/>
    <n v="3.49"/>
    <x v="7"/>
    <s v="In-store "/>
    <x v="2"/>
    <s v="Joao Silva"/>
    <s v="Lisbon"/>
    <x v="7"/>
    <s v="Joao Silva"/>
  </r>
  <r>
    <x v="223"/>
    <d v="2022-12-23T00:00:00"/>
    <x v="1"/>
    <n v="2.95"/>
    <x v="6"/>
    <s v="In-store "/>
    <x v="2"/>
    <s v="Joao Silva"/>
    <s v="Lisbon"/>
    <x v="6"/>
    <s v="Joao Silva"/>
  </r>
  <r>
    <x v="224"/>
    <d v="2022-12-23T00:00:00"/>
    <x v="2"/>
    <n v="4.99"/>
    <x v="2"/>
    <s v="In-store "/>
    <x v="2"/>
    <s v="Joao Silva"/>
    <s v="Lisbon"/>
    <x v="2"/>
    <s v="Joao Silva"/>
  </r>
  <r>
    <x v="225"/>
    <d v="2022-12-24T00:00:00"/>
    <x v="3"/>
    <n v="12.99"/>
    <x v="21"/>
    <s v="In-store "/>
    <x v="2"/>
    <s v="Joao Silva"/>
    <s v="Lisbon"/>
    <x v="23"/>
    <s v="Joao Silva"/>
  </r>
  <r>
    <x v="226"/>
    <d v="2022-12-24T00:00:00"/>
    <x v="4"/>
    <n v="9.95"/>
    <x v="22"/>
    <s v="In-store "/>
    <x v="2"/>
    <s v="Joao Silva"/>
    <s v="Lisbon"/>
    <x v="24"/>
    <s v="Joao Silva"/>
  </r>
  <r>
    <x v="227"/>
    <d v="2022-12-24T00:00:00"/>
    <x v="0"/>
    <n v="3.49"/>
    <x v="7"/>
    <s v="In-store "/>
    <x v="2"/>
    <s v="Walter Muller"/>
    <s v="Berlin"/>
    <x v="7"/>
    <s v="Walter Muller"/>
  </r>
  <r>
    <x v="228"/>
    <d v="2022-12-24T00:00:00"/>
    <x v="1"/>
    <n v="2.95"/>
    <x v="6"/>
    <s v="In-store "/>
    <x v="2"/>
    <s v="Walter Muller"/>
    <s v="Berlin"/>
    <x v="6"/>
    <s v="Walter Muller"/>
  </r>
  <r>
    <x v="229"/>
    <d v="2022-12-24T00:00:00"/>
    <x v="2"/>
    <n v="4.99"/>
    <x v="2"/>
    <s v="In-store "/>
    <x v="2"/>
    <s v="Walter Muller"/>
    <s v="Berlin"/>
    <x v="2"/>
    <s v="Walter Muller"/>
  </r>
  <r>
    <x v="230"/>
    <d v="2022-12-25T00:00:00"/>
    <x v="3"/>
    <n v="12.99"/>
    <x v="21"/>
    <s v="In-store "/>
    <x v="2"/>
    <s v="Walter Muller"/>
    <s v="Berlin"/>
    <x v="23"/>
    <s v="Walter Muller"/>
  </r>
  <r>
    <x v="231"/>
    <d v="2022-12-25T00:00:00"/>
    <x v="4"/>
    <n v="9.95"/>
    <x v="23"/>
    <s v="In-store "/>
    <x v="2"/>
    <s v="Walter Muller"/>
    <s v="Berlin"/>
    <x v="25"/>
    <s v="Walter Muller"/>
  </r>
  <r>
    <x v="232"/>
    <d v="2022-12-25T00:00:00"/>
    <x v="0"/>
    <n v="3.49"/>
    <x v="7"/>
    <s v="In-store "/>
    <x v="2"/>
    <s v="Walter Muller"/>
    <s v="Berlin"/>
    <x v="7"/>
    <s v="Walter Muller"/>
  </r>
  <r>
    <x v="233"/>
    <d v="2022-12-25T00:00:00"/>
    <x v="1"/>
    <n v="2.95"/>
    <x v="6"/>
    <s v="In-store "/>
    <x v="2"/>
    <s v="Walter Muller"/>
    <s v="Berlin"/>
    <x v="6"/>
    <s v="Walter Muller"/>
  </r>
  <r>
    <x v="234"/>
    <d v="2022-12-25T00:00:00"/>
    <x v="2"/>
    <n v="4.99"/>
    <x v="2"/>
    <s v="In-store "/>
    <x v="2"/>
    <s v="Walter Muller"/>
    <s v="Berlin"/>
    <x v="2"/>
    <s v="Walter Muller"/>
  </r>
  <r>
    <x v="235"/>
    <d v="2022-12-26T00:00:00"/>
    <x v="3"/>
    <n v="12.99"/>
    <x v="24"/>
    <s v="In-store "/>
    <x v="2"/>
    <s v="Walter Muller"/>
    <s v="Berlin"/>
    <x v="26"/>
    <s v="Walter Muller"/>
  </r>
  <r>
    <x v="236"/>
    <d v="2022-12-26T00:00:00"/>
    <x v="4"/>
    <n v="9.95"/>
    <x v="25"/>
    <s v="In-store "/>
    <x v="2"/>
    <s v="Walter Muller"/>
    <s v="Berlin"/>
    <x v="27"/>
    <s v="Walter Muller"/>
  </r>
  <r>
    <x v="237"/>
    <d v="2022-12-26T00:00:00"/>
    <x v="0"/>
    <n v="3.49"/>
    <x v="7"/>
    <s v="In-store "/>
    <x v="2"/>
    <s v="Walter Muller"/>
    <s v="Berlin"/>
    <x v="7"/>
    <s v="Walter Muller"/>
  </r>
  <r>
    <x v="238"/>
    <d v="2022-12-26T00:00:00"/>
    <x v="1"/>
    <n v="2.95"/>
    <x v="6"/>
    <s v="In-store "/>
    <x v="2"/>
    <s v="Walter Muller"/>
    <s v="Berlin"/>
    <x v="6"/>
    <s v="Walter Muller"/>
  </r>
  <r>
    <x v="239"/>
    <d v="2022-12-26T00:00:00"/>
    <x v="2"/>
    <n v="4.99"/>
    <x v="2"/>
    <s v="In-store "/>
    <x v="2"/>
    <s v="Walter Muller"/>
    <s v="Berlin"/>
    <x v="2"/>
    <s v="Walter Muller"/>
  </r>
  <r>
    <x v="240"/>
    <d v="2022-12-27T00:00:00"/>
    <x v="3"/>
    <n v="12.99"/>
    <x v="24"/>
    <s v="In-store "/>
    <x v="2"/>
    <s v="Walter Muller"/>
    <s v="Berlin"/>
    <x v="26"/>
    <s v="Walter Muller"/>
  </r>
  <r>
    <x v="241"/>
    <d v="2022-12-27T00:00:00"/>
    <x v="4"/>
    <n v="9.95"/>
    <x v="25"/>
    <s v="In-store "/>
    <x v="2"/>
    <s v="Walter Muller"/>
    <s v="Berlin"/>
    <x v="27"/>
    <s v="Walter Muller"/>
  </r>
  <r>
    <x v="242"/>
    <d v="2022-12-27T00:00:00"/>
    <x v="0"/>
    <n v="3.49"/>
    <x v="7"/>
    <s v="In-store "/>
    <x v="2"/>
    <s v="Walter Muller"/>
    <s v="Berlin"/>
    <x v="7"/>
    <s v="Walter Muller"/>
  </r>
  <r>
    <x v="243"/>
    <d v="2022-12-27T00:00:00"/>
    <x v="1"/>
    <n v="2.95"/>
    <x v="6"/>
    <s v="In-store "/>
    <x v="0"/>
    <s v="Walter Muller"/>
    <s v="Berlin"/>
    <x v="6"/>
    <s v="Walter Muller"/>
  </r>
  <r>
    <x v="244"/>
    <d v="2022-12-27T00:00:00"/>
    <x v="2"/>
    <n v="4.99"/>
    <x v="2"/>
    <s v="Drive-thru "/>
    <x v="0"/>
    <s v="Walter Muller"/>
    <s v="Berlin"/>
    <x v="2"/>
    <s v="Walter Muller"/>
  </r>
  <r>
    <x v="245"/>
    <d v="2022-12-28T00:00:00"/>
    <x v="3"/>
    <n v="12.99"/>
    <x v="26"/>
    <s v="Drive-thru "/>
    <x v="0"/>
    <s v="Walter Muller"/>
    <s v="Berlin"/>
    <x v="28"/>
    <s v="Walter Muller"/>
  </r>
  <r>
    <x v="246"/>
    <d v="2022-12-28T00:00:00"/>
    <x v="4"/>
    <n v="9.95"/>
    <x v="27"/>
    <s v="Drive-thru "/>
    <x v="0"/>
    <s v="Walter Muller"/>
    <s v="Berlin"/>
    <x v="29"/>
    <s v="Walter Muller"/>
  </r>
  <r>
    <x v="247"/>
    <d v="2022-12-28T00:00:00"/>
    <x v="0"/>
    <n v="3.49"/>
    <x v="7"/>
    <s v="Drive-thru "/>
    <x v="0"/>
    <s v="Walter Muller"/>
    <s v="Berlin"/>
    <x v="7"/>
    <s v="Walter Muller"/>
  </r>
  <r>
    <x v="248"/>
    <d v="2022-12-28T00:00:00"/>
    <x v="1"/>
    <n v="2.95"/>
    <x v="6"/>
    <s v="Drive-thru "/>
    <x v="0"/>
    <s v="Walter Muller"/>
    <s v="Berlin"/>
    <x v="6"/>
    <s v="Walter Muller"/>
  </r>
  <r>
    <x v="249"/>
    <d v="2022-12-28T00:00:00"/>
    <x v="2"/>
    <n v="4.99"/>
    <x v="2"/>
    <s v="Drive-thru "/>
    <x v="0"/>
    <s v="Walter Muller"/>
    <s v="Berlin"/>
    <x v="2"/>
    <s v="Walter Muller"/>
  </r>
  <r>
    <x v="250"/>
    <d v="2022-12-29T00:00:00"/>
    <x v="3"/>
    <n v="12.99"/>
    <x v="28"/>
    <s v="Drive-thru "/>
    <x v="0"/>
    <s v="Walter Muller"/>
    <s v="Berlin"/>
    <x v="30"/>
    <s v="Walter Muller"/>
  </r>
  <r>
    <x v="251"/>
    <d v="2022-12-29T00:00:00"/>
    <x v="4"/>
    <n v="9.95"/>
    <x v="25"/>
    <s v="Drive-thru "/>
    <x v="0"/>
    <s v="Walter Muller"/>
    <s v="Berlin"/>
    <x v="27"/>
    <s v="Walter Muller"/>
  </r>
  <r>
    <x v="252"/>
    <d v="2022-12-29T00:00:00"/>
    <x v="0"/>
    <n v="3.49"/>
    <x v="7"/>
    <s v="Drive-thru "/>
    <x v="0"/>
    <s v="Walter Muller"/>
    <s v="Berlin"/>
    <x v="7"/>
    <s v="Walter Muller"/>
  </r>
  <r>
    <x v="253"/>
    <d v="2022-12-29T00:00:00"/>
    <x v="1"/>
    <n v="2.95"/>
    <x v="6"/>
    <s v="Drive-thru "/>
    <x v="0"/>
    <s v="Walter Muller"/>
    <s v="Berlin"/>
    <x v="6"/>
    <s v="Walter Muller"/>
  </r>
  <r>
    <x v="254"/>
    <m/>
    <x v="5"/>
    <m/>
    <x v="29"/>
    <m/>
    <x v="3"/>
    <m/>
    <m/>
    <x v="3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55">
  <r>
    <n v="10452"/>
    <x v="0"/>
    <s v="Fries"/>
    <n v="3.49"/>
    <n v="573.07"/>
    <s v="Online "/>
    <s v=" Gift Card"/>
    <s v="Tom      Jackson"/>
    <x v="0"/>
    <x v="0"/>
    <x v="0"/>
  </r>
  <r>
    <n v="10453"/>
    <x v="0"/>
    <s v="Beverages"/>
    <n v="2.95"/>
    <n v="745.76"/>
    <s v="Online "/>
    <s v=" Gift Card"/>
    <s v="       Pablo Perez"/>
    <x v="1"/>
    <x v="1"/>
    <x v="1"/>
  </r>
  <r>
    <n v="10454"/>
    <x v="0"/>
    <s v="Sides &amp; Other"/>
    <n v="4.99"/>
    <n v="200.4"/>
    <s v="In-store "/>
    <s v=" Gift Card"/>
    <s v="Joao    Silva"/>
    <x v="2"/>
    <x v="2"/>
    <x v="2"/>
  </r>
  <r>
    <n v="10455"/>
    <x v="1"/>
    <s v="Burgers"/>
    <n v="12.99"/>
    <n v="569.67"/>
    <s v="In-store "/>
    <s v=" Credit Card"/>
    <s v="Walter Muller"/>
    <x v="3"/>
    <x v="3"/>
    <x v="3"/>
  </r>
  <r>
    <n v="10456"/>
    <x v="1"/>
    <s v="Chicken Sandwiches"/>
    <n v="9.95"/>
    <n v="201.01"/>
    <s v="In-store "/>
    <s v=" Credit Card"/>
    <s v="Walter Muller"/>
    <x v="3"/>
    <x v="4"/>
    <x v="3"/>
  </r>
  <r>
    <n v="10457"/>
    <x v="1"/>
    <s v="Fries"/>
    <n v="3.49"/>
    <n v="573.07"/>
    <s v="In-store "/>
    <s v=" Credit Card"/>
    <s v="Remy    Monet"/>
    <x v="4"/>
    <x v="0"/>
    <x v="4"/>
  </r>
  <r>
    <n v="10459"/>
    <x v="1"/>
    <s v="Sides &amp; Other"/>
    <n v="4.99"/>
    <n v="200.4"/>
    <s v="In-store "/>
    <s v=" Credit Card"/>
    <s v="Walter Muller"/>
    <x v="3"/>
    <x v="2"/>
    <x v="3"/>
  </r>
  <r>
    <n v="10460"/>
    <x v="2"/>
    <s v="Burgers"/>
    <n v="12.99"/>
    <n v="554.27"/>
    <s v="In-store "/>
    <s v=" Credit Card"/>
    <s v="Remy Monet"/>
    <x v="4"/>
    <x v="5"/>
    <x v="4"/>
  </r>
  <r>
    <n v="10461"/>
    <x v="2"/>
    <s v="Chicken Sandwiches"/>
    <n v="9.95"/>
    <n v="201.01"/>
    <s v="In-store "/>
    <s v=" Credit Card"/>
    <s v="Remy Monet"/>
    <x v="4"/>
    <x v="4"/>
    <x v="4"/>
  </r>
  <r>
    <n v="10462"/>
    <x v="2"/>
    <s v="Fries"/>
    <n v="3.49"/>
    <n v="573.07"/>
    <s v="In-store "/>
    <s v=" Credit Card"/>
    <s v="       Remy Monet"/>
    <x v="4"/>
    <x v="0"/>
    <x v="4"/>
  </r>
  <r>
    <n v="10463"/>
    <x v="2"/>
    <s v="Beverages"/>
    <n v="2.95"/>
    <n v="677.97"/>
    <s v="In-store "/>
    <s v=" Credit Card"/>
    <s v="       Remy Monet"/>
    <x v="4"/>
    <x v="6"/>
    <x v="4"/>
  </r>
  <r>
    <n v="10464"/>
    <x v="2"/>
    <s v="Sides &amp; Other"/>
    <n v="4.99"/>
    <n v="200.4"/>
    <s v="In-store "/>
    <s v=" Credit Card"/>
    <s v="Remy     Monet"/>
    <x v="4"/>
    <x v="2"/>
    <x v="4"/>
  </r>
  <r>
    <n v="10465"/>
    <x v="3"/>
    <s v="Burgers"/>
    <n v="12.99"/>
    <n v="554.27"/>
    <s v="In-store "/>
    <s v=" Credit Card"/>
    <s v="Pablo Perez"/>
    <x v="1"/>
    <x v="5"/>
    <x v="1"/>
  </r>
  <r>
    <n v="10466"/>
    <x v="3"/>
    <s v="Chicken Sandwiches"/>
    <n v="9.95"/>
    <n v="201.01"/>
    <s v="In-store "/>
    <s v=" Credit Card"/>
    <s v="Pablo Perez"/>
    <x v="1"/>
    <x v="4"/>
    <x v="1"/>
  </r>
  <r>
    <n v="10467"/>
    <x v="3"/>
    <s v="Fries"/>
    <n v="3.49"/>
    <n v="573.07"/>
    <s v="In-store "/>
    <s v=" Credit Card"/>
    <s v="Pablo Perez"/>
    <x v="1"/>
    <x v="0"/>
    <x v="1"/>
  </r>
  <r>
    <n v="10468"/>
    <x v="3"/>
    <s v="Beverages"/>
    <n v="2.95"/>
    <n v="677.97"/>
    <s v="In-store "/>
    <s v=" Credit Card"/>
    <s v="       Pablo Perez"/>
    <x v="1"/>
    <x v="6"/>
    <x v="1"/>
  </r>
  <r>
    <n v="10470"/>
    <x v="4"/>
    <s v="Burgers"/>
    <n v="12.99"/>
    <n v="554.27"/>
    <s v="In-store "/>
    <s v=" Credit Card"/>
    <s v="       Pablo Perez"/>
    <x v="1"/>
    <x v="5"/>
    <x v="1"/>
  </r>
  <r>
    <n v="10471"/>
    <x v="4"/>
    <s v="Chicken Sandwiches"/>
    <n v="9.95"/>
    <n v="201.01"/>
    <s v="In-store "/>
    <s v=" Credit Card"/>
    <s v="       Pablo Perez"/>
    <x v="1"/>
    <x v="4"/>
    <x v="1"/>
  </r>
  <r>
    <n v="10472"/>
    <x v="4"/>
    <s v="Fries"/>
    <n v="3.49"/>
    <n v="630.37"/>
    <s v="In-store "/>
    <s v=" Credit Card"/>
    <s v="Pablo   Perez"/>
    <x v="1"/>
    <x v="7"/>
    <x v="1"/>
  </r>
  <r>
    <n v="10473"/>
    <x v="4"/>
    <s v="Beverages"/>
    <n v="2.95"/>
    <n v="677.97"/>
    <s v="In-store "/>
    <s v=" Credit Card"/>
    <s v="       Pablo Perez"/>
    <x v="1"/>
    <x v="6"/>
    <x v="1"/>
  </r>
  <r>
    <n v="10474"/>
    <x v="4"/>
    <s v="Sides &amp; Other"/>
    <n v="4.99"/>
    <n v="200.4"/>
    <s v="In-store "/>
    <s v=" Credit Card"/>
    <s v="       Pablo Perez"/>
    <x v="1"/>
    <x v="2"/>
    <x v="1"/>
  </r>
  <r>
    <n v="10475"/>
    <x v="5"/>
    <s v="Burgers"/>
    <n v="12.99"/>
    <n v="523.48"/>
    <s v="In-store "/>
    <s v=" Credit Card"/>
    <s v="       Pablo Perez"/>
    <x v="1"/>
    <x v="8"/>
    <x v="1"/>
  </r>
  <r>
    <n v="10476"/>
    <x v="5"/>
    <s v="Chicken Sandwiches"/>
    <n v="9.95"/>
    <n v="201.01"/>
    <s v="In-store "/>
    <s v=" Credit Card"/>
    <s v="Pablo Perez"/>
    <x v="1"/>
    <x v="4"/>
    <x v="1"/>
  </r>
  <r>
    <n v="10477"/>
    <x v="5"/>
    <s v="Fries"/>
    <n v="3.49"/>
    <n v="630.37"/>
    <s v="In-store "/>
    <s v=" Credit Card"/>
    <s v="Pablo  Perez"/>
    <x v="1"/>
    <x v="7"/>
    <x v="1"/>
  </r>
  <r>
    <n v="10478"/>
    <x v="5"/>
    <s v="Beverages"/>
    <n v="2.95"/>
    <n v="677.97"/>
    <s v="In-store "/>
    <s v=" Credit Card"/>
    <s v="Pablo Perez"/>
    <x v="1"/>
    <x v="6"/>
    <x v="1"/>
  </r>
  <r>
    <n v="10479"/>
    <x v="5"/>
    <s v="Sides &amp; Other"/>
    <n v="4.99"/>
    <n v="200.4"/>
    <s v="In-store "/>
    <s v=" Credit Card"/>
    <s v="Pablo    Perez"/>
    <x v="1"/>
    <x v="2"/>
    <x v="1"/>
  </r>
  <r>
    <n v="10480"/>
    <x v="6"/>
    <s v="Burgers"/>
    <n v="12.99"/>
    <n v="508.08"/>
    <s v="In-store "/>
    <s v=" Credit Card"/>
    <s v="Pablo Perez"/>
    <x v="1"/>
    <x v="9"/>
    <x v="1"/>
  </r>
  <r>
    <n v="10481"/>
    <x v="6"/>
    <s v="Chicken Sandwiches"/>
    <n v="9.95"/>
    <n v="201.01"/>
    <s v="In-store "/>
    <s v=" Credit Card"/>
    <s v="Pablo Perez"/>
    <x v="1"/>
    <x v="4"/>
    <x v="1"/>
  </r>
  <r>
    <n v="10482"/>
    <x v="6"/>
    <s v="Fries"/>
    <n v="25.5"/>
    <n v="630.37"/>
    <s v="In-store "/>
    <s v=" Credit Card"/>
    <s v="Joao Silva"/>
    <x v="2"/>
    <x v="10"/>
    <x v="2"/>
  </r>
  <r>
    <n v="10486"/>
    <x v="7"/>
    <s v="Chicken Sandwiches"/>
    <n v="29.05"/>
    <n v="201.01"/>
    <s v="In-store "/>
    <s v=" Credit Card"/>
    <s v="Joao    Silva"/>
    <x v="2"/>
    <x v="11"/>
    <x v="2"/>
  </r>
  <r>
    <n v="10487"/>
    <x v="7"/>
    <s v="Fries"/>
    <n v="3.49"/>
    <n v="630.37"/>
    <s v="In-store "/>
    <s v=" Credit Card"/>
    <s v="Joao Silva"/>
    <x v="2"/>
    <x v="7"/>
    <x v="2"/>
  </r>
  <r>
    <n v="10488"/>
    <x v="7"/>
    <s v="Beverages"/>
    <n v="2.95"/>
    <n v="677.97"/>
    <s v="In-store "/>
    <s v=" Credit Card"/>
    <s v="Joao Silva"/>
    <x v="2"/>
    <x v="6"/>
    <x v="2"/>
  </r>
  <r>
    <n v="10489"/>
    <x v="7"/>
    <s v="Sides &amp; Other"/>
    <n v="4.99"/>
    <n v="200.4"/>
    <s v="In-store "/>
    <s v=" Credit Card"/>
    <s v="Pablo Perez"/>
    <x v="1"/>
    <x v="2"/>
    <x v="1"/>
  </r>
  <r>
    <n v="10490"/>
    <x v="8"/>
    <s v="Burgers"/>
    <n v="12.99"/>
    <n v="508.08"/>
    <s v="In-store "/>
    <s v=" Credit Card"/>
    <s v="Pablo Perez"/>
    <x v="1"/>
    <x v="9"/>
    <x v="1"/>
  </r>
  <r>
    <n v="10491"/>
    <x v="8"/>
    <s v="Chicken Sandwiches"/>
    <n v="9.95"/>
    <n v="201.01"/>
    <s v="In-store "/>
    <s v=" Credit Card"/>
    <s v="Pablo Perez"/>
    <x v="1"/>
    <x v="4"/>
    <x v="1"/>
  </r>
  <r>
    <n v="10492"/>
    <x v="8"/>
    <s v="Fries"/>
    <n v="3.49"/>
    <n v="573.07"/>
    <s v="In-store "/>
    <s v=" Credit Card"/>
    <s v="Pablo Perez"/>
    <x v="1"/>
    <x v="0"/>
    <x v="1"/>
  </r>
  <r>
    <n v="10493"/>
    <x v="8"/>
    <s v="Beverages"/>
    <n v="2.95"/>
    <n v="677.97"/>
    <s v="In-store "/>
    <s v=" Credit Card"/>
    <s v="Pablo Perez"/>
    <x v="1"/>
    <x v="6"/>
    <x v="1"/>
  </r>
  <r>
    <n v="10494"/>
    <x v="8"/>
    <s v="Sides &amp; Other"/>
    <n v="4.99"/>
    <n v="200.4"/>
    <s v="In-store "/>
    <s v=" Credit Card"/>
    <s v="Pablo Perez"/>
    <x v="1"/>
    <x v="2"/>
    <x v="1"/>
  </r>
  <r>
    <n v="10495"/>
    <x v="9"/>
    <s v="Burgers"/>
    <n v="12.99"/>
    <n v="508.08"/>
    <s v="In-store "/>
    <s v=" Credit Card"/>
    <s v="Pablo Perez"/>
    <x v="1"/>
    <x v="9"/>
    <x v="1"/>
  </r>
  <r>
    <n v="10496"/>
    <x v="9"/>
    <s v="Chicken Sandwiches"/>
    <n v="9.95"/>
    <n v="201.01"/>
    <s v="In-store "/>
    <s v=" Credit Card"/>
    <s v="Pablo Perez"/>
    <x v="1"/>
    <x v="4"/>
    <x v="1"/>
  </r>
  <r>
    <n v="10497"/>
    <x v="9"/>
    <s v="Fries"/>
    <n v="3.49"/>
    <n v="573.07"/>
    <s v="In-store "/>
    <s v=" Credit Card"/>
    <s v="Pablo Perez"/>
    <x v="1"/>
    <x v="0"/>
    <x v="1"/>
  </r>
  <r>
    <n v="10498"/>
    <x v="9"/>
    <s v="Beverages"/>
    <n v="2.95"/>
    <n v="677.97"/>
    <s v="Drive-thru "/>
    <s v=" Credit Card"/>
    <s v="Pablo Perez"/>
    <x v="1"/>
    <x v="6"/>
    <x v="1"/>
  </r>
  <r>
    <n v="10499"/>
    <x v="9"/>
    <s v="Sides &amp; Other"/>
    <n v="4.99"/>
    <n v="200.4"/>
    <s v="Drive-thru "/>
    <s v=" Credit Card"/>
    <s v="Pablo Perez"/>
    <x v="1"/>
    <x v="2"/>
    <x v="1"/>
  </r>
  <r>
    <n v="10500"/>
    <x v="10"/>
    <s v="Burgers"/>
    <n v="12.99"/>
    <n v="523.48"/>
    <s v="Drive-thru "/>
    <s v=" Credit Card"/>
    <s v="Pablo Perez"/>
    <x v="1"/>
    <x v="8"/>
    <x v="1"/>
  </r>
  <r>
    <n v="10501"/>
    <x v="10"/>
    <s v="Chicken Sandwiches"/>
    <n v="9.95"/>
    <n v="201.01"/>
    <s v="Drive-thru "/>
    <s v=" Credit Card"/>
    <s v="Pablo Perez"/>
    <x v="1"/>
    <x v="4"/>
    <x v="1"/>
  </r>
  <r>
    <n v="10502"/>
    <x v="10"/>
    <s v="Fries"/>
    <n v="3.49"/>
    <n v="630.37"/>
    <s v="Drive-thru "/>
    <s v=" Credit Card"/>
    <s v="Pablo Perez"/>
    <x v="1"/>
    <x v="7"/>
    <x v="1"/>
  </r>
  <r>
    <n v="10503"/>
    <x v="10"/>
    <s v="Beverages"/>
    <n v="2.95"/>
    <n v="677.97"/>
    <s v="Drive-thru "/>
    <s v=" Credit Card"/>
    <s v="Pablo Perez"/>
    <x v="1"/>
    <x v="6"/>
    <x v="1"/>
  </r>
  <r>
    <n v="10504"/>
    <x v="10"/>
    <s v="Sides &amp; Other"/>
    <n v="4.99"/>
    <n v="200.4"/>
    <s v="Drive-thru "/>
    <s v=" Credit Card"/>
    <s v="Pablo Perez"/>
    <x v="1"/>
    <x v="2"/>
    <x v="1"/>
  </r>
  <r>
    <n v="10505"/>
    <x v="11"/>
    <s v="Burgers"/>
    <n v="12.99"/>
    <n v="538.88"/>
    <s v="Drive-thru "/>
    <s v=" Credit Card"/>
    <s v="Pablo Perez"/>
    <x v="1"/>
    <x v="12"/>
    <x v="1"/>
  </r>
  <r>
    <n v="10506"/>
    <x v="11"/>
    <s v="Chicken Sandwiches"/>
    <n v="9.95"/>
    <n v="201.01"/>
    <s v="Drive-thru "/>
    <s v=" Credit Card"/>
    <s v="Pablo Perez"/>
    <x v="1"/>
    <x v="4"/>
    <x v="1"/>
  </r>
  <r>
    <n v="10507"/>
    <x v="11"/>
    <s v="Fries"/>
    <n v="3.49"/>
    <n v="687.68"/>
    <s v="Drive-thru "/>
    <s v=" Credit Card"/>
    <s v="Pablo Perez"/>
    <x v="1"/>
    <x v="13"/>
    <x v="1"/>
  </r>
  <r>
    <n v="10508"/>
    <x v="11"/>
    <s v="Beverages"/>
    <n v="2.95"/>
    <n v="677.97"/>
    <s v="Drive-thru "/>
    <s v=" Credit Card"/>
    <s v="Pablo Perez"/>
    <x v="1"/>
    <x v="6"/>
    <x v="1"/>
  </r>
  <r>
    <n v="10509"/>
    <x v="11"/>
    <s v="Sides &amp; Other"/>
    <n v="4.99"/>
    <n v="200.4"/>
    <s v="Drive-thru "/>
    <s v=" Credit Card"/>
    <s v="Pablo Perez"/>
    <x v="1"/>
    <x v="2"/>
    <x v="1"/>
  </r>
  <r>
    <n v="10510"/>
    <x v="12"/>
    <s v="Burgers"/>
    <n v="12.99"/>
    <n v="508.08"/>
    <s v="Drive-thru "/>
    <s v=" Credit Card"/>
    <s v="Pablo Perez"/>
    <x v="1"/>
    <x v="9"/>
    <x v="1"/>
  </r>
  <r>
    <n v="10511"/>
    <x v="12"/>
    <s v="Chicken Sandwiches"/>
    <n v="9.95"/>
    <n v="201.01"/>
    <s v="Drive-thru "/>
    <s v=" Credit Card"/>
    <s v="Joao Silva"/>
    <x v="2"/>
    <x v="4"/>
    <x v="2"/>
  </r>
  <r>
    <n v="10512"/>
    <x v="12"/>
    <s v="Fries"/>
    <n v="3.49"/>
    <n v="687.68"/>
    <s v="Drive-thru "/>
    <s v=" Credit Card"/>
    <s v="Joao Silva"/>
    <x v="2"/>
    <x v="13"/>
    <x v="2"/>
  </r>
  <r>
    <n v="10513"/>
    <x v="12"/>
    <s v="Beverages"/>
    <n v="2.95"/>
    <n v="677.97"/>
    <s v="Drive-thru "/>
    <s v=" Cash"/>
    <s v="Joao Silva"/>
    <x v="2"/>
    <x v="6"/>
    <x v="2"/>
  </r>
  <r>
    <n v="10514"/>
    <x v="12"/>
    <s v="Sides &amp; Other"/>
    <n v="4.99"/>
    <n v="200.4"/>
    <s v="Drive-thru "/>
    <s v=" Cash"/>
    <s v="Joao Silva"/>
    <x v="2"/>
    <x v="2"/>
    <x v="2"/>
  </r>
  <r>
    <n v="10515"/>
    <x v="13"/>
    <s v="Burgers"/>
    <n v="12.99"/>
    <n v="477.29"/>
    <s v="Drive-thru "/>
    <s v=" Cash"/>
    <s v="Joao Silva"/>
    <x v="2"/>
    <x v="14"/>
    <x v="2"/>
  </r>
  <r>
    <n v="10516"/>
    <x v="13"/>
    <s v="Chicken Sandwiches"/>
    <n v="9.95"/>
    <n v="201.01"/>
    <s v="Drive-thru "/>
    <s v=" Cash"/>
    <s v="Joao Silva"/>
    <x v="2"/>
    <x v="4"/>
    <x v="2"/>
  </r>
  <r>
    <n v="10483"/>
    <x v="6"/>
    <s v="Beverages"/>
    <n v="2.95"/>
    <n v="677.97"/>
    <s v="In-store "/>
    <s v=" Credit Card"/>
    <s v="Joao    Silva"/>
    <x v="2"/>
    <x v="6"/>
    <x v="2"/>
  </r>
  <r>
    <n v="10484"/>
    <x v="6"/>
    <s v="Sides &amp; Other"/>
    <n v="4.99"/>
    <n v="200.4"/>
    <s v="In-store "/>
    <s v=" Credit Card"/>
    <s v="Joao    Silva"/>
    <x v="2"/>
    <x v="2"/>
    <x v="2"/>
  </r>
  <r>
    <n v="10485"/>
    <x v="7"/>
    <s v="Burgers"/>
    <n v="12.99"/>
    <n v="523.48"/>
    <s v="In-store "/>
    <s v=" Credit Card"/>
    <s v="Joao    Silva"/>
    <x v="2"/>
    <x v="8"/>
    <x v="2"/>
  </r>
  <r>
    <n v="10520"/>
    <x v="14"/>
    <s v="Burgers"/>
    <n v="12.99"/>
    <n v="492.69"/>
    <s v="Drive-thru "/>
    <s v=" Cash"/>
    <s v="Remy Monet"/>
    <x v="4"/>
    <x v="15"/>
    <x v="4"/>
  </r>
  <r>
    <n v="10521"/>
    <x v="14"/>
    <s v="Chicken Sandwiches"/>
    <n v="9.95"/>
    <n v="201.01"/>
    <s v="Drive-thru "/>
    <s v=" Cash"/>
    <s v="Remy Monet"/>
    <x v="4"/>
    <x v="4"/>
    <x v="4"/>
  </r>
  <r>
    <n v="10522"/>
    <x v="14"/>
    <s v="Fries"/>
    <n v="3.49"/>
    <n v="687.68"/>
    <s v="Drive-thru "/>
    <s v=" Cash"/>
    <s v="Remy Monet"/>
    <x v="4"/>
    <x v="13"/>
    <x v="4"/>
  </r>
  <r>
    <n v="10523"/>
    <x v="14"/>
    <s v="Beverages"/>
    <n v="2.95"/>
    <n v="745.76"/>
    <s v="Drive-thru "/>
    <s v=" Cash"/>
    <s v="Remy Monet"/>
    <x v="4"/>
    <x v="1"/>
    <x v="4"/>
  </r>
  <r>
    <n v="10524"/>
    <x v="14"/>
    <s v="Sides &amp; Other"/>
    <n v="4.99"/>
    <n v="200.4"/>
    <s v="Drive-thru "/>
    <s v=" Cash"/>
    <s v="Remy Monet"/>
    <x v="4"/>
    <x v="2"/>
    <x v="4"/>
  </r>
  <r>
    <n v="10525"/>
    <x v="15"/>
    <s v="Burgers"/>
    <n v="12.99"/>
    <n v="461.89"/>
    <s v="Drive-thru "/>
    <s v=" Cash"/>
    <s v="Remy Monet"/>
    <x v="4"/>
    <x v="16"/>
    <x v="4"/>
  </r>
  <r>
    <n v="10526"/>
    <x v="15"/>
    <s v="Chicken Sandwiches"/>
    <n v="9.95"/>
    <n v="201.01"/>
    <s v="Drive-thru "/>
    <s v=" Cash"/>
    <s v="Remy Monet"/>
    <x v="4"/>
    <x v="4"/>
    <x v="4"/>
  </r>
  <r>
    <n v="10527"/>
    <x v="15"/>
    <s v="Fries"/>
    <n v="3.49"/>
    <n v="687.68"/>
    <s v="Drive-thru "/>
    <s v=" Cash"/>
    <s v="Remy Monet"/>
    <x v="4"/>
    <x v="13"/>
    <x v="4"/>
  </r>
  <r>
    <n v="10528"/>
    <x v="15"/>
    <s v="Beverages"/>
    <n v="2.95"/>
    <n v="745.76"/>
    <s v="Drive-thru "/>
    <s v=" Cash"/>
    <s v="Remy Monet"/>
    <x v="4"/>
    <x v="1"/>
    <x v="4"/>
  </r>
  <r>
    <n v="10529"/>
    <x v="15"/>
    <s v="Sides &amp; Other"/>
    <n v="4.99"/>
    <n v="200.4"/>
    <s v="Drive-thru "/>
    <s v=" Cash"/>
    <s v="Remy Monet"/>
    <x v="4"/>
    <x v="2"/>
    <x v="4"/>
  </r>
  <r>
    <n v="10530"/>
    <x v="16"/>
    <s v="Burgers"/>
    <n v="12.99"/>
    <n v="477.29"/>
    <s v="Drive-thru "/>
    <s v=" Cash"/>
    <s v="Remy Monet"/>
    <x v="4"/>
    <x v="14"/>
    <x v="4"/>
  </r>
  <r>
    <n v="10531"/>
    <x v="16"/>
    <s v="Chicken Sandwiches"/>
    <n v="9.95"/>
    <n v="201.01"/>
    <s v="Drive-thru "/>
    <s v=" Cash"/>
    <s v="Remy Monet"/>
    <x v="4"/>
    <x v="4"/>
    <x v="4"/>
  </r>
  <r>
    <n v="10532"/>
    <x v="16"/>
    <s v="Fries"/>
    <n v="3.49"/>
    <n v="687.68"/>
    <s v="Drive-thru "/>
    <s v=" Cash"/>
    <s v="Joao Silva"/>
    <x v="2"/>
    <x v="13"/>
    <x v="2"/>
  </r>
  <r>
    <n v="10533"/>
    <x v="16"/>
    <s v="Beverages"/>
    <n v="2.95"/>
    <n v="745.76"/>
    <s v="Drive-thru "/>
    <s v=" Cash"/>
    <s v="Joao Silva"/>
    <x v="2"/>
    <x v="1"/>
    <x v="2"/>
  </r>
  <r>
    <n v="10534"/>
    <x v="16"/>
    <s v="Sides &amp; Other"/>
    <n v="4.99"/>
    <n v="200.4"/>
    <s v="Drive-thru "/>
    <s v=" Cash"/>
    <s v="Pablo Perez"/>
    <x v="1"/>
    <x v="2"/>
    <x v="1"/>
  </r>
  <r>
    <n v="10535"/>
    <x v="17"/>
    <s v="Burgers"/>
    <n v="12.99"/>
    <n v="477.29"/>
    <s v="Drive-thru "/>
    <s v=" Credit Card"/>
    <s v="Pablo Perez"/>
    <x v="1"/>
    <x v="14"/>
    <x v="1"/>
  </r>
  <r>
    <n v="10536"/>
    <x v="17"/>
    <s v="Chicken Sandwiches"/>
    <n v="9.95"/>
    <n v="201.01"/>
    <s v="Drive-thru "/>
    <s v=" Credit Card"/>
    <s v="Pablo Perez"/>
    <x v="1"/>
    <x v="4"/>
    <x v="1"/>
  </r>
  <r>
    <n v="10540"/>
    <x v="18"/>
    <s v="Burgers"/>
    <n v="12.99"/>
    <n v="461.89"/>
    <s v="Drive-thru "/>
    <s v=" Credit Card"/>
    <s v="Pablo Perez"/>
    <x v="1"/>
    <x v="16"/>
    <x v="1"/>
  </r>
  <r>
    <n v="10541"/>
    <x v="18"/>
    <s v="Chicken Sandwiches"/>
    <n v="9.95"/>
    <n v="201.01"/>
    <s v="Drive-thru "/>
    <s v=" Credit Card"/>
    <s v="Tom Jackson"/>
    <x v="0"/>
    <x v="4"/>
    <x v="0"/>
  </r>
  <r>
    <n v="10542"/>
    <x v="18"/>
    <s v="Fries"/>
    <n v="3.49"/>
    <n v="630.37"/>
    <s v="Drive-thru "/>
    <s v=" Credit Card"/>
    <s v="Tom Jackson"/>
    <x v="0"/>
    <x v="7"/>
    <x v="0"/>
  </r>
  <r>
    <n v="10543"/>
    <x v="18"/>
    <s v="Beverages"/>
    <n v="2.95"/>
    <n v="745.76"/>
    <s v="Drive-thru "/>
    <s v=" Credit Card"/>
    <s v="Tom Jackson"/>
    <x v="0"/>
    <x v="1"/>
    <x v="0"/>
  </r>
  <r>
    <n v="10544"/>
    <x v="18"/>
    <s v="Sides &amp; Other"/>
    <n v="4.99"/>
    <n v="200.4"/>
    <s v="Drive-thru "/>
    <s v=" Credit Card"/>
    <s v="Tom Jackson"/>
    <x v="0"/>
    <x v="2"/>
    <x v="0"/>
  </r>
  <r>
    <n v="10545"/>
    <x v="19"/>
    <s v="Burgers"/>
    <n v="12.99"/>
    <n v="446.5"/>
    <s v="Drive-thru "/>
    <s v=" Credit Card"/>
    <s v="Tom Jackson"/>
    <x v="0"/>
    <x v="17"/>
    <x v="0"/>
  </r>
  <r>
    <n v="10546"/>
    <x v="19"/>
    <s v="Chicken Sandwiches"/>
    <n v="9.95"/>
    <n v="201.01"/>
    <s v="Drive-thru "/>
    <s v=" Credit Card"/>
    <s v="Tom Jackson"/>
    <x v="0"/>
    <x v="4"/>
    <x v="0"/>
  </r>
  <r>
    <n v="10547"/>
    <x v="19"/>
    <s v="Fries"/>
    <n v="3.49"/>
    <n v="630.37"/>
    <s v="Drive-thru "/>
    <s v=" Credit Card"/>
    <s v="Tom Jackson"/>
    <x v="0"/>
    <x v="7"/>
    <x v="0"/>
  </r>
  <r>
    <n v="10548"/>
    <x v="19"/>
    <s v="Beverages"/>
    <n v="2.95"/>
    <n v="745.76"/>
    <s v="Drive-thru "/>
    <s v=" Credit Card"/>
    <s v="Tom Jackson"/>
    <x v="0"/>
    <x v="1"/>
    <x v="0"/>
  </r>
  <r>
    <n v="10549"/>
    <x v="19"/>
    <s v="Sides &amp; Other"/>
    <n v="4.99"/>
    <n v="200.4"/>
    <s v="Drive-thru "/>
    <s v=" Credit Card"/>
    <s v="Tom Jackson"/>
    <x v="0"/>
    <x v="2"/>
    <x v="0"/>
  </r>
  <r>
    <n v="10550"/>
    <x v="20"/>
    <s v="Burgers"/>
    <n v="12.99"/>
    <n v="461.89"/>
    <s v="Drive-thru "/>
    <s v=" Credit Card"/>
    <s v="Tom Jackson"/>
    <x v="0"/>
    <x v="16"/>
    <x v="0"/>
  </r>
  <r>
    <n v="10551"/>
    <x v="20"/>
    <s v="Chicken Sandwiches"/>
    <n v="9.95"/>
    <n v="201.01"/>
    <s v="Drive-thru "/>
    <s v=" Credit Card"/>
    <s v="Tom Jackson"/>
    <x v="0"/>
    <x v="4"/>
    <x v="0"/>
  </r>
  <r>
    <n v="10552"/>
    <x v="20"/>
    <s v="Fries"/>
    <n v="3.49"/>
    <n v="630.37"/>
    <s v="Online "/>
    <s v=" Credit Card"/>
    <s v="Tom Jackson"/>
    <x v="0"/>
    <x v="7"/>
    <x v="0"/>
  </r>
  <r>
    <n v="10553"/>
    <x v="20"/>
    <s v="Beverages"/>
    <n v="2.95"/>
    <n v="745.76"/>
    <s v="Online "/>
    <s v=" Credit Card"/>
    <s v="Tom Jackson"/>
    <x v="0"/>
    <x v="1"/>
    <x v="0"/>
  </r>
  <r>
    <n v="10554"/>
    <x v="20"/>
    <s v="Sides &amp; Other"/>
    <n v="4.99"/>
    <n v="200.4"/>
    <s v="Online "/>
    <s v=" Credit Card"/>
    <s v="Tom Jackson"/>
    <x v="0"/>
    <x v="2"/>
    <x v="0"/>
  </r>
  <r>
    <n v="10555"/>
    <x v="21"/>
    <s v="Burgers"/>
    <n v="12.99"/>
    <n v="477.29"/>
    <s v="Online "/>
    <s v=" Credit Card"/>
    <s v="Tom Jackson"/>
    <x v="0"/>
    <x v="14"/>
    <x v="0"/>
  </r>
  <r>
    <n v="10556"/>
    <x v="21"/>
    <s v="Chicken Sandwiches"/>
    <n v="9.95"/>
    <n v="201.01"/>
    <s v="Online "/>
    <s v=" Credit Card"/>
    <s v="Tom Jackson"/>
    <x v="0"/>
    <x v="4"/>
    <x v="0"/>
  </r>
  <r>
    <n v="10557"/>
    <x v="21"/>
    <s v="Fries"/>
    <n v="3.49"/>
    <n v="630.37"/>
    <s v="Online "/>
    <s v=" Credit Card"/>
    <s v="Tom Jackson"/>
    <x v="0"/>
    <x v="7"/>
    <x v="0"/>
  </r>
  <r>
    <n v="10558"/>
    <x v="21"/>
    <s v="Beverages"/>
    <n v="2.95"/>
    <n v="677.97"/>
    <s v="Online "/>
    <s v=" Credit Card"/>
    <s v="Tom Jackson"/>
    <x v="0"/>
    <x v="6"/>
    <x v="0"/>
  </r>
  <r>
    <n v="10559"/>
    <x v="21"/>
    <s v="Sides &amp; Other"/>
    <n v="4.99"/>
    <n v="200.4"/>
    <s v="Online "/>
    <s v=" Credit Card"/>
    <s v="Tom Jackson"/>
    <x v="0"/>
    <x v="2"/>
    <x v="0"/>
  </r>
  <r>
    <n v="10560"/>
    <x v="22"/>
    <s v="Burgers"/>
    <n v="12.99"/>
    <n v="477.29"/>
    <s v="Online "/>
    <s v=" Credit Card"/>
    <s v="Tom Jackson"/>
    <x v="0"/>
    <x v="14"/>
    <x v="0"/>
  </r>
  <r>
    <n v="10561"/>
    <x v="22"/>
    <s v="Chicken Sandwiches"/>
    <n v="9.95"/>
    <n v="201.01"/>
    <s v="Online "/>
    <s v=" Credit Card"/>
    <s v="Tom Jackson"/>
    <x v="0"/>
    <x v="4"/>
    <x v="0"/>
  </r>
  <r>
    <n v="10562"/>
    <x v="22"/>
    <s v="Fries"/>
    <n v="3.49"/>
    <n v="630.37"/>
    <s v="Online "/>
    <s v=" Credit Card"/>
    <s v="Tom Jackson"/>
    <x v="0"/>
    <x v="7"/>
    <x v="0"/>
  </r>
  <r>
    <n v="10563"/>
    <x v="22"/>
    <s v="Beverages"/>
    <n v="2.95"/>
    <n v="677.97"/>
    <s v="Online "/>
    <s v=" Credit Card"/>
    <s v="Tom Jackson"/>
    <x v="0"/>
    <x v="6"/>
    <x v="0"/>
  </r>
  <r>
    <n v="10564"/>
    <x v="22"/>
    <s v="Sides &amp; Other"/>
    <n v="4.99"/>
    <n v="200.4"/>
    <s v="Online "/>
    <s v=" Credit Card"/>
    <s v="Tom Jackson"/>
    <x v="0"/>
    <x v="2"/>
    <x v="0"/>
  </r>
  <r>
    <n v="10565"/>
    <x v="23"/>
    <s v="Burgers"/>
    <n v="12.99"/>
    <n v="492.69"/>
    <s v="Online "/>
    <s v=" Credit Card"/>
    <s v="Tom Jackson"/>
    <x v="0"/>
    <x v="15"/>
    <x v="0"/>
  </r>
  <r>
    <n v="10566"/>
    <x v="23"/>
    <s v="Chicken Sandwiches"/>
    <n v="9.95"/>
    <n v="201.01"/>
    <s v="Online "/>
    <s v=" Credit Card"/>
    <s v="Tom Jackson"/>
    <x v="0"/>
    <x v="4"/>
    <x v="0"/>
  </r>
  <r>
    <n v="10567"/>
    <x v="23"/>
    <s v="Fries"/>
    <n v="3.49"/>
    <n v="630.37"/>
    <s v="Online "/>
    <s v=" Credit Card"/>
    <s v="Tom Jackson"/>
    <x v="0"/>
    <x v="7"/>
    <x v="0"/>
  </r>
  <r>
    <n v="10568"/>
    <x v="23"/>
    <s v="Beverages"/>
    <n v="2.95"/>
    <n v="677.97"/>
    <s v="Online "/>
    <s v=" Credit Card"/>
    <s v="Tom Jackson"/>
    <x v="0"/>
    <x v="6"/>
    <x v="0"/>
  </r>
  <r>
    <n v="10569"/>
    <x v="23"/>
    <s v="Sides &amp; Other"/>
    <n v="4.99"/>
    <n v="200.4"/>
    <s v="Online "/>
    <s v=" Credit Card"/>
    <s v="Tom Jackson"/>
    <x v="0"/>
    <x v="2"/>
    <x v="0"/>
  </r>
  <r>
    <n v="10570"/>
    <x v="24"/>
    <s v="Burgers"/>
    <n v="12.99"/>
    <n v="492.69"/>
    <s v="Online "/>
    <s v=" Credit Card"/>
    <s v="Tom Jackson"/>
    <x v="0"/>
    <x v="15"/>
    <x v="0"/>
  </r>
  <r>
    <n v="10571"/>
    <x v="24"/>
    <s v="Chicken Sandwiches"/>
    <n v="9.95"/>
    <n v="201.01"/>
    <s v="Online "/>
    <s v=" Credit Card"/>
    <s v="Tom Jackson"/>
    <x v="0"/>
    <x v="4"/>
    <x v="0"/>
  </r>
  <r>
    <n v="10572"/>
    <x v="24"/>
    <s v="Fries"/>
    <n v="3.49"/>
    <n v="573.07"/>
    <s v="Online "/>
    <s v=" Credit Card"/>
    <s v="Remy Monet"/>
    <x v="4"/>
    <x v="0"/>
    <x v="4"/>
  </r>
  <r>
    <n v="10573"/>
    <x v="24"/>
    <s v="Beverages"/>
    <n v="2.95"/>
    <n v="677.97"/>
    <s v="Online "/>
    <s v=" Credit Card"/>
    <s v="Remy Monet"/>
    <x v="4"/>
    <x v="6"/>
    <x v="4"/>
  </r>
  <r>
    <n v="10574"/>
    <x v="24"/>
    <s v="Sides &amp; Other"/>
    <n v="4.99"/>
    <n v="200.4"/>
    <s v="Online "/>
    <s v=" Credit Card"/>
    <s v="Remy Monet"/>
    <x v="4"/>
    <x v="2"/>
    <x v="4"/>
  </r>
  <r>
    <n v="10575"/>
    <x v="25"/>
    <s v="Burgers"/>
    <n v="12.99"/>
    <n v="523.48"/>
    <s v="Online "/>
    <s v=" Credit Card"/>
    <s v="Remy Monet"/>
    <x v="4"/>
    <x v="8"/>
    <x v="4"/>
  </r>
  <r>
    <n v="10576"/>
    <x v="25"/>
    <s v="Chicken Sandwiches"/>
    <n v="9.95"/>
    <n v="201.01"/>
    <s v="Online "/>
    <s v=" Credit Card"/>
    <s v="Remy Monet"/>
    <x v="4"/>
    <x v="4"/>
    <x v="4"/>
  </r>
  <r>
    <n v="10577"/>
    <x v="25"/>
    <s v="Fries"/>
    <n v="3.49"/>
    <n v="630.37"/>
    <s v="Online "/>
    <s v=" Credit Card"/>
    <s v="Remy Monet"/>
    <x v="4"/>
    <x v="7"/>
    <x v="4"/>
  </r>
  <r>
    <n v="10578"/>
    <x v="25"/>
    <s v="Beverages"/>
    <n v="2.95"/>
    <n v="677.97"/>
    <s v="Online "/>
    <s v=" Credit Card"/>
    <s v="Remy Monet"/>
    <x v="4"/>
    <x v="6"/>
    <x v="4"/>
  </r>
  <r>
    <n v="10579"/>
    <x v="25"/>
    <s v="Sides &amp; Other"/>
    <n v="4.99"/>
    <n v="200.4"/>
    <s v="Online "/>
    <s v=" Credit Card"/>
    <s v="Remy Monet"/>
    <x v="4"/>
    <x v="2"/>
    <x v="4"/>
  </r>
  <r>
    <n v="10580"/>
    <x v="26"/>
    <s v="Burgers"/>
    <n v="12.99"/>
    <n v="523.48"/>
    <s v="Online "/>
    <s v=" Credit Card"/>
    <s v="Remy Monet"/>
    <x v="4"/>
    <x v="8"/>
    <x v="4"/>
  </r>
  <r>
    <n v="10581"/>
    <x v="26"/>
    <s v="Chicken Sandwiches"/>
    <n v="9.95"/>
    <n v="201.01"/>
    <s v="Online "/>
    <s v=" Credit Card"/>
    <s v="Remy Monet"/>
    <x v="4"/>
    <x v="4"/>
    <x v="4"/>
  </r>
  <r>
    <n v="10582"/>
    <x v="26"/>
    <s v="Fries"/>
    <n v="3.49"/>
    <n v="630.37"/>
    <s v="Online "/>
    <s v=" Credit Card"/>
    <s v="Tom Jackson"/>
    <x v="0"/>
    <x v="7"/>
    <x v="0"/>
  </r>
  <r>
    <n v="10583"/>
    <x v="26"/>
    <s v="Beverages"/>
    <n v="2.95"/>
    <n v="677.97"/>
    <s v="Online "/>
    <s v=" Credit Card"/>
    <s v="Tom Jackson"/>
    <x v="0"/>
    <x v="6"/>
    <x v="0"/>
  </r>
  <r>
    <n v="10584"/>
    <x v="26"/>
    <s v="Sides &amp; Other"/>
    <n v="4.99"/>
    <n v="200.4"/>
    <s v="Online "/>
    <s v=" Credit Card"/>
    <s v="Tom Jackson"/>
    <x v="0"/>
    <x v="2"/>
    <x v="0"/>
  </r>
  <r>
    <n v="10585"/>
    <x v="27"/>
    <s v="Burgers"/>
    <n v="12.99"/>
    <n v="538.88"/>
    <s v="Online "/>
    <s v=" Credit Card"/>
    <s v="Tom Jackson"/>
    <x v="0"/>
    <x v="12"/>
    <x v="0"/>
  </r>
  <r>
    <n v="10586"/>
    <x v="27"/>
    <s v="Chicken Sandwiches"/>
    <n v="9.95"/>
    <n v="201.01"/>
    <s v="Online "/>
    <s v=" Credit Card"/>
    <s v="Tom Jackson"/>
    <x v="0"/>
    <x v="4"/>
    <x v="0"/>
  </r>
  <r>
    <n v="10537"/>
    <x v="17"/>
    <s v="Fries"/>
    <n v="3.49"/>
    <n v="630.37"/>
    <s v="Drive-thru "/>
    <s v=" Credit Card"/>
    <s v="Pablo Perez"/>
    <x v="1"/>
    <x v="7"/>
    <x v="1"/>
  </r>
  <r>
    <n v="10538"/>
    <x v="17"/>
    <s v="Beverages"/>
    <n v="2.95"/>
    <n v="745.76"/>
    <s v="Drive-thru "/>
    <s v=" Credit Card"/>
    <s v="Pablo Perez"/>
    <x v="1"/>
    <x v="1"/>
    <x v="1"/>
  </r>
  <r>
    <n v="10539"/>
    <x v="17"/>
    <s v="Sides &amp; Other"/>
    <n v="4.99"/>
    <n v="200.4"/>
    <s v="Drive-thru "/>
    <s v=" Credit Card"/>
    <s v="Pablo Perez"/>
    <x v="1"/>
    <x v="2"/>
    <x v="1"/>
  </r>
  <r>
    <n v="10590"/>
    <x v="28"/>
    <s v="Burgers"/>
    <n v="12.99"/>
    <n v="554.27"/>
    <s v="Online "/>
    <s v=" Credit Card"/>
    <s v="Tom Jackson"/>
    <x v="0"/>
    <x v="5"/>
    <x v="0"/>
  </r>
  <r>
    <n v="10591"/>
    <x v="28"/>
    <s v="Chicken Sandwiches"/>
    <n v="9.95"/>
    <n v="201.01"/>
    <s v="Online "/>
    <s v=" Credit Card"/>
    <s v="Tom Jackson"/>
    <x v="0"/>
    <x v="4"/>
    <x v="0"/>
  </r>
  <r>
    <n v="10592"/>
    <x v="28"/>
    <s v="Fries"/>
    <n v="3.49"/>
    <n v="573.07"/>
    <s v="Online "/>
    <s v=" Credit Card"/>
    <s v="Tom Jackson"/>
    <x v="0"/>
    <x v="0"/>
    <x v="0"/>
  </r>
  <r>
    <n v="10593"/>
    <x v="28"/>
    <s v="Beverages"/>
    <n v="2.95"/>
    <n v="677.97"/>
    <s v="Online "/>
    <s v=" Credit Card"/>
    <s v="Tom Jackson"/>
    <x v="0"/>
    <x v="6"/>
    <x v="0"/>
  </r>
  <r>
    <n v="10594"/>
    <x v="28"/>
    <s v="Sides &amp; Other"/>
    <n v="4.99"/>
    <n v="200.4"/>
    <s v="Online "/>
    <s v=" Credit Card"/>
    <s v="Tom Jackson"/>
    <x v="0"/>
    <x v="2"/>
    <x v="0"/>
  </r>
  <r>
    <n v="10595"/>
    <x v="29"/>
    <s v="Burgers"/>
    <n v="12.99"/>
    <n v="538.88"/>
    <s v="Online "/>
    <s v=" Credit Card"/>
    <s v="Tom Jackson"/>
    <x v="0"/>
    <x v="12"/>
    <x v="0"/>
  </r>
  <r>
    <n v="10596"/>
    <x v="29"/>
    <s v="Chicken Sandwiches"/>
    <n v="9.95"/>
    <n v="201.01"/>
    <s v="Online "/>
    <s v=" Credit Card"/>
    <s v="Tom Jackson"/>
    <x v="0"/>
    <x v="4"/>
    <x v="0"/>
  </r>
  <r>
    <n v="10597"/>
    <x v="29"/>
    <s v="Fries"/>
    <n v="3.49"/>
    <n v="573.07"/>
    <s v="Online "/>
    <s v=" Credit Card"/>
    <s v="Tom Jackson"/>
    <x v="0"/>
    <x v="0"/>
    <x v="0"/>
  </r>
  <r>
    <n v="10598"/>
    <x v="29"/>
    <s v="Beverages"/>
    <n v="2.95"/>
    <n v="677.97"/>
    <s v="Online "/>
    <s v=" Credit Card"/>
    <s v="Tom Jackson"/>
    <x v="0"/>
    <x v="6"/>
    <x v="0"/>
  </r>
  <r>
    <n v="10599"/>
    <x v="29"/>
    <s v="Sides &amp; Other"/>
    <n v="4.99"/>
    <n v="200.4"/>
    <s v="Online "/>
    <s v=" Credit Card"/>
    <s v="Tom Jackson"/>
    <x v="0"/>
    <x v="2"/>
    <x v="0"/>
  </r>
  <r>
    <n v="10600"/>
    <x v="30"/>
    <s v="Burgers"/>
    <n v="12.99"/>
    <n v="523.48"/>
    <s v="Online "/>
    <s v=" Credit Card"/>
    <s v="Tom Jackson"/>
    <x v="0"/>
    <x v="8"/>
    <x v="0"/>
  </r>
  <r>
    <n v="10601"/>
    <x v="30"/>
    <s v="Chicken Sandwiches"/>
    <n v="9.95"/>
    <n v="201.01"/>
    <s v="Online "/>
    <s v=" Credit Card"/>
    <s v="Tom Jackson"/>
    <x v="0"/>
    <x v="4"/>
    <x v="0"/>
  </r>
  <r>
    <n v="10602"/>
    <x v="30"/>
    <s v="Fries"/>
    <n v="3.49"/>
    <n v="630.37"/>
    <s v="Online "/>
    <s v=" Cash"/>
    <s v="Tom Jackson"/>
    <x v="0"/>
    <x v="7"/>
    <x v="0"/>
  </r>
  <r>
    <n v="10603"/>
    <x v="30"/>
    <s v="Beverages"/>
    <n v="2.95"/>
    <n v="677.97"/>
    <s v="Online "/>
    <s v=" Cash"/>
    <s v="Tom Jackson"/>
    <x v="0"/>
    <x v="6"/>
    <x v="0"/>
  </r>
  <r>
    <n v="10604"/>
    <x v="30"/>
    <s v="Sides &amp; Other"/>
    <n v="4.99"/>
    <n v="200.4"/>
    <s v="Online "/>
    <s v=" Cash"/>
    <s v="Tom Jackson"/>
    <x v="0"/>
    <x v="2"/>
    <x v="0"/>
  </r>
  <r>
    <n v="10605"/>
    <x v="31"/>
    <s v="Burgers"/>
    <n v="12.99"/>
    <n v="538.88"/>
    <s v="Online "/>
    <s v=" Cash"/>
    <s v="Tom Jackson"/>
    <x v="0"/>
    <x v="12"/>
    <x v="0"/>
  </r>
  <r>
    <n v="10606"/>
    <x v="31"/>
    <s v="Chicken Sandwiches"/>
    <n v="9.95"/>
    <n v="201.01"/>
    <s v="Online "/>
    <s v=" Cash"/>
    <s v="Tom Jackson"/>
    <x v="0"/>
    <x v="4"/>
    <x v="0"/>
  </r>
  <r>
    <n v="10607"/>
    <x v="31"/>
    <s v="Fries"/>
    <n v="3.49"/>
    <n v="630.37"/>
    <s v="Online "/>
    <s v=" Cash"/>
    <s v="Tom Jackson"/>
    <x v="0"/>
    <x v="7"/>
    <x v="0"/>
  </r>
  <r>
    <n v="10608"/>
    <x v="31"/>
    <s v="Beverages"/>
    <n v="2.95"/>
    <n v="677.97"/>
    <s v="Online "/>
    <s v=" Gift Card"/>
    <s v="Tom Jackson"/>
    <x v="0"/>
    <x v="6"/>
    <x v="0"/>
  </r>
  <r>
    <n v="10609"/>
    <x v="31"/>
    <s v="Sides &amp; Other"/>
    <n v="4.99"/>
    <n v="200.4"/>
    <s v="Online "/>
    <s v=" Gift Card"/>
    <s v="Tom Jackson"/>
    <x v="0"/>
    <x v="2"/>
    <x v="0"/>
  </r>
  <r>
    <n v="10610"/>
    <x v="32"/>
    <s v="Burgers"/>
    <n v="12.99"/>
    <n v="569.67"/>
    <s v="Online "/>
    <s v=" Gift Card"/>
    <s v="Tom Jackson"/>
    <x v="0"/>
    <x v="3"/>
    <x v="0"/>
  </r>
  <r>
    <n v="10611"/>
    <x v="32"/>
    <s v="Chicken Sandwiches"/>
    <n v="9.95"/>
    <n v="201.01"/>
    <s v="Online "/>
    <s v=" Gift Card"/>
    <s v="Tom Jackson"/>
    <x v="0"/>
    <x v="4"/>
    <x v="0"/>
  </r>
  <r>
    <n v="10612"/>
    <x v="32"/>
    <s v="Fries"/>
    <n v="3.49"/>
    <n v="630.37"/>
    <s v="Online "/>
    <s v=" Gift Card"/>
    <s v="Tom Jackson"/>
    <x v="0"/>
    <x v="7"/>
    <x v="0"/>
  </r>
  <r>
    <n v="10613"/>
    <x v="32"/>
    <s v="Beverages"/>
    <n v="2.95"/>
    <n v="677.97"/>
    <s v="Online "/>
    <s v=" Gift Card"/>
    <s v="Tom Jackson"/>
    <x v="0"/>
    <x v="6"/>
    <x v="0"/>
  </r>
  <r>
    <n v="10614"/>
    <x v="32"/>
    <s v="Sides &amp; Other"/>
    <n v="4.99"/>
    <n v="200.4"/>
    <s v="Online "/>
    <s v=" Gift Card"/>
    <s v="Tom Jackson"/>
    <x v="0"/>
    <x v="2"/>
    <x v="0"/>
  </r>
  <r>
    <n v="10615"/>
    <x v="33"/>
    <s v="Burgers"/>
    <n v="12.99"/>
    <n v="569.67"/>
    <s v="Online "/>
    <s v=" Gift Card"/>
    <s v="Tom Jackson"/>
    <x v="0"/>
    <x v="3"/>
    <x v="0"/>
  </r>
  <r>
    <n v="10616"/>
    <x v="33"/>
    <s v="Chicken Sandwiches"/>
    <n v="9.95"/>
    <n v="201.01"/>
    <s v="Online "/>
    <s v=" Gift Card"/>
    <s v="Tom Jackson"/>
    <x v="0"/>
    <x v="4"/>
    <x v="0"/>
  </r>
  <r>
    <n v="10617"/>
    <x v="33"/>
    <s v="Fries"/>
    <n v="3.49"/>
    <n v="630.37"/>
    <s v="Online "/>
    <s v=" Gift Card"/>
    <s v="Tom Jackson"/>
    <x v="0"/>
    <x v="7"/>
    <x v="0"/>
  </r>
  <r>
    <n v="10618"/>
    <x v="33"/>
    <s v="Beverages"/>
    <n v="2.95"/>
    <n v="677.97"/>
    <s v="Online "/>
    <s v=" Gift Card"/>
    <s v="Tom Jackson"/>
    <x v="0"/>
    <x v="6"/>
    <x v="0"/>
  </r>
  <r>
    <n v="10619"/>
    <x v="33"/>
    <s v="Sides &amp; Other"/>
    <n v="4.99"/>
    <n v="200.4"/>
    <s v="Online "/>
    <s v=" Gift Card"/>
    <s v="Tom Jackson"/>
    <x v="0"/>
    <x v="2"/>
    <x v="0"/>
  </r>
  <r>
    <n v="10620"/>
    <x v="34"/>
    <s v="Burgers"/>
    <n v="12.99"/>
    <n v="585.07"/>
    <s v="Online "/>
    <s v=" Gift Card"/>
    <s v="Tom Jackson"/>
    <x v="0"/>
    <x v="18"/>
    <x v="0"/>
  </r>
  <r>
    <n v="10621"/>
    <x v="34"/>
    <s v="Chicken Sandwiches"/>
    <n v="9.95"/>
    <n v="201.01"/>
    <s v="Online "/>
    <s v=" Gift Card"/>
    <s v="Tom Jackson"/>
    <x v="0"/>
    <x v="4"/>
    <x v="0"/>
  </r>
  <r>
    <n v="10622"/>
    <x v="34"/>
    <s v="Fries"/>
    <n v="3.49"/>
    <n v="630.37"/>
    <s v="Online "/>
    <s v=" Gift Card"/>
    <s v="Tom Jackson"/>
    <x v="0"/>
    <x v="7"/>
    <x v="0"/>
  </r>
  <r>
    <n v="10623"/>
    <x v="34"/>
    <s v="Beverages"/>
    <n v="2.95"/>
    <n v="745.76"/>
    <s v="Online "/>
    <s v=" Gift Card"/>
    <s v="Tom Jackson"/>
    <x v="0"/>
    <x v="1"/>
    <x v="0"/>
  </r>
  <r>
    <n v="10624"/>
    <x v="34"/>
    <s v="Sides &amp; Other"/>
    <n v="4.99"/>
    <n v="200.4"/>
    <s v="Online "/>
    <s v=" Gift Card"/>
    <s v="Tom Jackson"/>
    <x v="0"/>
    <x v="2"/>
    <x v="0"/>
  </r>
  <r>
    <n v="10625"/>
    <x v="35"/>
    <s v="Burgers"/>
    <n v="12.99"/>
    <n v="569.67"/>
    <s v="Online "/>
    <s v=" Gift Card"/>
    <s v="Tom Jackson"/>
    <x v="0"/>
    <x v="3"/>
    <x v="0"/>
  </r>
  <r>
    <n v="10626"/>
    <x v="35"/>
    <s v="Chicken Sandwiches"/>
    <n v="9.95"/>
    <n v="201.01"/>
    <s v="Online "/>
    <s v=" Gift Card"/>
    <s v="Tom Jackson"/>
    <x v="0"/>
    <x v="4"/>
    <x v="0"/>
  </r>
  <r>
    <n v="10627"/>
    <x v="35"/>
    <s v="Fries"/>
    <n v="3.49"/>
    <n v="630.37"/>
    <s v="Online "/>
    <s v=" Gift Card"/>
    <s v="Tom Jackson"/>
    <x v="0"/>
    <x v="7"/>
    <x v="0"/>
  </r>
  <r>
    <n v="10628"/>
    <x v="35"/>
    <s v="Beverages"/>
    <n v="2.95"/>
    <n v="677.97"/>
    <s v="Online "/>
    <s v=" Gift Card"/>
    <s v="Joao Silva"/>
    <x v="2"/>
    <x v="6"/>
    <x v="2"/>
  </r>
  <r>
    <n v="10629"/>
    <x v="35"/>
    <s v="Sides &amp; Other"/>
    <n v="4.99"/>
    <n v="200.4"/>
    <s v="Online "/>
    <s v=" Gift Card"/>
    <s v="Joao Silva"/>
    <x v="2"/>
    <x v="2"/>
    <x v="2"/>
  </r>
  <r>
    <n v="10630"/>
    <x v="36"/>
    <s v="Burgers"/>
    <n v="12.99"/>
    <n v="569.67"/>
    <s v="Online "/>
    <s v=" Cash"/>
    <s v="Joao Silva"/>
    <x v="2"/>
    <x v="3"/>
    <x v="2"/>
  </r>
  <r>
    <n v="10631"/>
    <x v="36"/>
    <s v="Chicken Sandwiches"/>
    <n v="9.95"/>
    <n v="201.01"/>
    <s v="Online "/>
    <s v=" Gift Card"/>
    <s v="Joao Silva"/>
    <x v="2"/>
    <x v="4"/>
    <x v="2"/>
  </r>
  <r>
    <n v="10632"/>
    <x v="36"/>
    <s v="Fries"/>
    <n v="3.49"/>
    <n v="630.37"/>
    <s v="Online "/>
    <s v=" Gift Card"/>
    <s v="Joao Silva"/>
    <x v="2"/>
    <x v="7"/>
    <x v="2"/>
  </r>
  <r>
    <n v="10633"/>
    <x v="36"/>
    <s v="Beverages"/>
    <n v="2.95"/>
    <n v="677.97"/>
    <s v="Online "/>
    <s v=" Gift Card"/>
    <s v="Joao Silva"/>
    <x v="2"/>
    <x v="6"/>
    <x v="2"/>
  </r>
  <r>
    <n v="10634"/>
    <x v="36"/>
    <s v="Sides &amp; Other"/>
    <n v="4.99"/>
    <n v="200.4"/>
    <s v="Online "/>
    <s v=" Gift Card"/>
    <s v="Joao Silva"/>
    <x v="2"/>
    <x v="2"/>
    <x v="2"/>
  </r>
  <r>
    <n v="10635"/>
    <x v="37"/>
    <s v="Burgers"/>
    <n v="12.99"/>
    <n v="554.27"/>
    <s v="Online "/>
    <s v=" Gift Card"/>
    <s v="Joao Silva"/>
    <x v="2"/>
    <x v="5"/>
    <x v="2"/>
  </r>
  <r>
    <n v="10636"/>
    <x v="37"/>
    <s v="Chicken Sandwiches"/>
    <n v="9.95"/>
    <n v="221.11"/>
    <s v="Online "/>
    <s v=" Gift Card"/>
    <s v="Joao Silva"/>
    <x v="2"/>
    <x v="19"/>
    <x v="2"/>
  </r>
  <r>
    <n v="10637"/>
    <x v="37"/>
    <s v="Fries"/>
    <n v="3.49"/>
    <n v="630.37"/>
    <s v="Online "/>
    <s v=" Gift Card"/>
    <s v="Joao Silva"/>
    <x v="2"/>
    <x v="7"/>
    <x v="2"/>
  </r>
  <r>
    <n v="10638"/>
    <x v="37"/>
    <s v="Beverages"/>
    <n v="2.95"/>
    <n v="677.97"/>
    <s v="Online "/>
    <s v=" Gift Card"/>
    <s v="Joao Silva"/>
    <x v="2"/>
    <x v="6"/>
    <x v="2"/>
  </r>
  <r>
    <n v="10639"/>
    <x v="37"/>
    <s v="Sides &amp; Other"/>
    <n v="4.99"/>
    <n v="200.4"/>
    <s v="Online "/>
    <s v=" Gift Card"/>
    <s v="Joao Silva"/>
    <x v="2"/>
    <x v="2"/>
    <x v="2"/>
  </r>
  <r>
    <n v="10640"/>
    <x v="38"/>
    <s v="Burgers"/>
    <n v="12.99"/>
    <n v="538.88"/>
    <s v="Online "/>
    <s v=" Gift Card"/>
    <s v="Joao Silva"/>
    <x v="2"/>
    <x v="12"/>
    <x v="2"/>
  </r>
  <r>
    <n v="10641"/>
    <x v="38"/>
    <s v="Chicken Sandwiches"/>
    <n v="9.95"/>
    <n v="221.11"/>
    <s v="Online "/>
    <s v=" Gift Card"/>
    <s v="Joao Silva"/>
    <x v="2"/>
    <x v="19"/>
    <x v="2"/>
  </r>
  <r>
    <n v="10642"/>
    <x v="38"/>
    <s v="Fries"/>
    <n v="3.49"/>
    <n v="630.37"/>
    <s v="Online "/>
    <s v=" Cash"/>
    <s v="Joao Silva"/>
    <x v="2"/>
    <x v="7"/>
    <x v="2"/>
  </r>
  <r>
    <n v="10643"/>
    <x v="38"/>
    <s v="Beverages"/>
    <n v="2.95"/>
    <n v="677.97"/>
    <s v="Online "/>
    <s v=" Cash"/>
    <s v="Joao Silva"/>
    <x v="2"/>
    <x v="6"/>
    <x v="2"/>
  </r>
  <r>
    <n v="10644"/>
    <x v="38"/>
    <s v="Sides &amp; Other"/>
    <n v="4.99"/>
    <n v="200.4"/>
    <s v="Online "/>
    <s v=" Cash"/>
    <s v="Joao Silva"/>
    <x v="2"/>
    <x v="2"/>
    <x v="2"/>
  </r>
  <r>
    <n v="10645"/>
    <x v="39"/>
    <s v="Burgers"/>
    <n v="12.99"/>
    <n v="569.67"/>
    <s v="Online "/>
    <s v=" Cash"/>
    <s v="Joao Silva"/>
    <x v="2"/>
    <x v="3"/>
    <x v="2"/>
  </r>
  <r>
    <n v="10646"/>
    <x v="39"/>
    <s v="Chicken Sandwiches"/>
    <n v="9.95"/>
    <n v="221.11"/>
    <s v="Online "/>
    <s v=" Cash"/>
    <s v="Joao Silva"/>
    <x v="2"/>
    <x v="19"/>
    <x v="2"/>
  </r>
  <r>
    <n v="10647"/>
    <x v="39"/>
    <s v="Fries"/>
    <n v="3.49"/>
    <n v="630.37"/>
    <s v="Online "/>
    <s v=" Gift Card"/>
    <s v="Joao Silva"/>
    <x v="2"/>
    <x v="7"/>
    <x v="2"/>
  </r>
  <r>
    <n v="10648"/>
    <x v="39"/>
    <s v="Beverages"/>
    <n v="2.95"/>
    <n v="745.76"/>
    <s v="Online "/>
    <s v=" Gift Card"/>
    <s v="Joao Silva"/>
    <x v="2"/>
    <x v="1"/>
    <x v="2"/>
  </r>
  <r>
    <n v="10649"/>
    <x v="39"/>
    <s v="Sides &amp; Other"/>
    <n v="4.99"/>
    <n v="200.4"/>
    <s v="Online "/>
    <s v=" Gift Card"/>
    <s v="Joao Silva"/>
    <x v="2"/>
    <x v="2"/>
    <x v="2"/>
  </r>
  <r>
    <n v="10650"/>
    <x v="40"/>
    <s v="Burgers"/>
    <n v="12.99"/>
    <n v="585.07"/>
    <s v="Online "/>
    <s v=" Gift Card"/>
    <s v="Joao Silva"/>
    <x v="2"/>
    <x v="18"/>
    <x v="2"/>
  </r>
  <r>
    <n v="10651"/>
    <x v="40"/>
    <s v="Chicken Sandwiches"/>
    <n v="9.95"/>
    <n v="221.11"/>
    <s v="Online "/>
    <s v=" Gift Card"/>
    <s v="Joao Silva"/>
    <x v="2"/>
    <x v="19"/>
    <x v="2"/>
  </r>
  <r>
    <n v="10652"/>
    <x v="40"/>
    <s v="Fries"/>
    <n v="3.49"/>
    <n v="687.68"/>
    <s v="Online "/>
    <s v=" Gift Card"/>
    <s v="Joao Silva"/>
    <x v="2"/>
    <x v="13"/>
    <x v="2"/>
  </r>
  <r>
    <n v="10653"/>
    <x v="40"/>
    <s v="Beverages"/>
    <n v="2.95"/>
    <n v="745.76"/>
    <s v="Online "/>
    <s v=" Gift Card"/>
    <s v="Joao Silva"/>
    <x v="2"/>
    <x v="1"/>
    <x v="2"/>
  </r>
  <r>
    <n v="10654"/>
    <x v="40"/>
    <s v="Sides &amp; Other"/>
    <n v="4.99"/>
    <n v="200.4"/>
    <s v="Online "/>
    <s v=" Gift Card"/>
    <s v="Joao Silva"/>
    <x v="2"/>
    <x v="2"/>
    <x v="2"/>
  </r>
  <r>
    <n v="10655"/>
    <x v="41"/>
    <s v="Burgers"/>
    <n v="12.99"/>
    <n v="600.46"/>
    <s v="Online "/>
    <s v=" Gift Card"/>
    <s v="Joao Silva"/>
    <x v="2"/>
    <x v="20"/>
    <x v="2"/>
  </r>
  <r>
    <n v="10656"/>
    <x v="41"/>
    <s v="Chicken Sandwiches"/>
    <n v="9.95"/>
    <n v="221.11"/>
    <s v="Online "/>
    <s v=" Gift Card"/>
    <s v="Joao Silva"/>
    <x v="2"/>
    <x v="19"/>
    <x v="2"/>
  </r>
  <r>
    <n v="10657"/>
    <x v="41"/>
    <s v="Fries"/>
    <n v="3.49"/>
    <n v="687.68"/>
    <s v="Online "/>
    <s v=" Gift Card"/>
    <s v="Joao Silva"/>
    <x v="2"/>
    <x v="13"/>
    <x v="2"/>
  </r>
  <r>
    <n v="10658"/>
    <x v="41"/>
    <s v="Beverages"/>
    <n v="2.95"/>
    <n v="745.76"/>
    <s v="Online "/>
    <s v=" Cash"/>
    <s v="Joao Silva"/>
    <x v="2"/>
    <x v="1"/>
    <x v="2"/>
  </r>
  <r>
    <n v="10659"/>
    <x v="41"/>
    <s v="Sides &amp; Other"/>
    <n v="4.99"/>
    <n v="200.4"/>
    <s v="Online "/>
    <s v=" Cash"/>
    <s v="Joao Silva"/>
    <x v="2"/>
    <x v="2"/>
    <x v="2"/>
  </r>
  <r>
    <n v="10660"/>
    <x v="42"/>
    <s v="Burgers"/>
    <n v="12.99"/>
    <n v="631.25"/>
    <s v="In-store "/>
    <s v=" Cash"/>
    <s v="Joao Silva"/>
    <x v="2"/>
    <x v="21"/>
    <x v="2"/>
  </r>
  <r>
    <n v="10661"/>
    <x v="42"/>
    <s v="Chicken Sandwiches"/>
    <n v="9.95"/>
    <n v="221.11"/>
    <s v="In-store "/>
    <s v=" Cash"/>
    <s v="Joao Silva"/>
    <x v="2"/>
    <x v="19"/>
    <x v="2"/>
  </r>
  <r>
    <n v="10662"/>
    <x v="42"/>
    <s v="Fries"/>
    <n v="3.49"/>
    <n v="630.37"/>
    <s v="In-store "/>
    <s v=" Cash"/>
    <s v="Joao Silva"/>
    <x v="2"/>
    <x v="7"/>
    <x v="2"/>
  </r>
  <r>
    <n v="10663"/>
    <x v="42"/>
    <s v="Beverages"/>
    <n v="2.95"/>
    <n v="745.76"/>
    <s v="In-store "/>
    <s v=" Cash"/>
    <s v="Joao Silva"/>
    <x v="2"/>
    <x v="1"/>
    <x v="2"/>
  </r>
  <r>
    <n v="10664"/>
    <x v="42"/>
    <s v="Sides &amp; Other"/>
    <n v="4.99"/>
    <n v="200.4"/>
    <s v="In-store "/>
    <s v=" Cash"/>
    <s v="Joao Silva"/>
    <x v="2"/>
    <x v="2"/>
    <x v="2"/>
  </r>
  <r>
    <n v="10665"/>
    <x v="43"/>
    <s v="Burgers"/>
    <n v="12.99"/>
    <n v="646.65"/>
    <s v="In-store "/>
    <s v=" Cash"/>
    <s v="Joao Silva"/>
    <x v="2"/>
    <x v="22"/>
    <x v="2"/>
  </r>
  <r>
    <n v="10666"/>
    <x v="43"/>
    <s v="Chicken Sandwiches"/>
    <n v="9.95"/>
    <n v="221.11"/>
    <s v="In-store "/>
    <s v=" Cash"/>
    <s v="Joao Silva"/>
    <x v="2"/>
    <x v="19"/>
    <x v="2"/>
  </r>
  <r>
    <n v="10667"/>
    <x v="43"/>
    <s v="Fries"/>
    <n v="3.49"/>
    <n v="630.37"/>
    <s v="In-store "/>
    <s v=" Cash"/>
    <s v="Joao Silva"/>
    <x v="2"/>
    <x v="7"/>
    <x v="2"/>
  </r>
  <r>
    <n v="10668"/>
    <x v="43"/>
    <s v="Beverages"/>
    <n v="2.95"/>
    <n v="745.76"/>
    <s v="In-store "/>
    <s v=" Cash"/>
    <s v="Joao Silva"/>
    <x v="2"/>
    <x v="1"/>
    <x v="2"/>
  </r>
  <r>
    <n v="10669"/>
    <x v="43"/>
    <s v="Sides &amp; Other"/>
    <n v="4.99"/>
    <n v="200.4"/>
    <s v="In-store "/>
    <s v=" Cash"/>
    <s v="Joao Silva"/>
    <x v="2"/>
    <x v="2"/>
    <x v="2"/>
  </r>
  <r>
    <n v="10670"/>
    <x v="44"/>
    <s v="Burgers"/>
    <n v="12.99"/>
    <n v="677.44"/>
    <s v="In-store "/>
    <s v=" Cash"/>
    <s v="Joao Silva"/>
    <x v="2"/>
    <x v="23"/>
    <x v="2"/>
  </r>
  <r>
    <n v="10671"/>
    <x v="44"/>
    <s v="Chicken Sandwiches"/>
    <n v="9.95"/>
    <n v="221.11"/>
    <s v="In-store "/>
    <s v=" Cash"/>
    <s v="Joao Silva"/>
    <x v="2"/>
    <x v="19"/>
    <x v="2"/>
  </r>
  <r>
    <n v="10672"/>
    <x v="44"/>
    <s v="Fries"/>
    <n v="3.49"/>
    <n v="630.37"/>
    <s v="In-store "/>
    <s v=" Cash"/>
    <s v="Joao Silva"/>
    <x v="2"/>
    <x v="7"/>
    <x v="2"/>
  </r>
  <r>
    <n v="10673"/>
    <x v="44"/>
    <s v="Beverages"/>
    <n v="2.95"/>
    <n v="745.76"/>
    <s v="In-store "/>
    <s v=" Cash"/>
    <s v="Joao Silva"/>
    <x v="2"/>
    <x v="1"/>
    <x v="2"/>
  </r>
  <r>
    <n v="10674"/>
    <x v="44"/>
    <s v="Sides &amp; Other"/>
    <n v="4.99"/>
    <n v="200.4"/>
    <s v="In-store "/>
    <s v=" Cash"/>
    <s v="Joao Silva"/>
    <x v="2"/>
    <x v="2"/>
    <x v="2"/>
  </r>
  <r>
    <n v="10675"/>
    <x v="45"/>
    <s v="Burgers"/>
    <n v="12.99"/>
    <n v="677.44"/>
    <s v="In-store "/>
    <s v=" Cash"/>
    <s v="Joao Silva"/>
    <x v="2"/>
    <x v="23"/>
    <x v="2"/>
  </r>
  <r>
    <n v="10676"/>
    <x v="45"/>
    <s v="Chicken Sandwiches"/>
    <n v="9.95"/>
    <n v="241.21"/>
    <s v="In-store "/>
    <s v=" Cash"/>
    <s v="Joao Silva"/>
    <x v="2"/>
    <x v="24"/>
    <x v="2"/>
  </r>
  <r>
    <n v="10677"/>
    <x v="45"/>
    <s v="Fries"/>
    <n v="3.49"/>
    <n v="630.37"/>
    <s v="In-store "/>
    <s v=" Cash"/>
    <s v="Joao Silva"/>
    <x v="2"/>
    <x v="7"/>
    <x v="2"/>
  </r>
  <r>
    <n v="10678"/>
    <x v="45"/>
    <s v="Beverages"/>
    <n v="2.95"/>
    <n v="745.76"/>
    <s v="In-store "/>
    <s v=" Cash"/>
    <s v="Joao Silva"/>
    <x v="2"/>
    <x v="1"/>
    <x v="2"/>
  </r>
  <r>
    <n v="10679"/>
    <x v="45"/>
    <s v="Sides &amp; Other"/>
    <n v="4.99"/>
    <n v="200.4"/>
    <s v="In-store "/>
    <s v=" Cash"/>
    <s v="Joao Silva"/>
    <x v="2"/>
    <x v="2"/>
    <x v="2"/>
  </r>
  <r>
    <n v="10680"/>
    <x v="46"/>
    <s v="Burgers"/>
    <n v="12.99"/>
    <n v="646.65"/>
    <s v="In-store "/>
    <s v=" Cash"/>
    <s v="Joao Silva"/>
    <x v="2"/>
    <x v="22"/>
    <x v="2"/>
  </r>
  <r>
    <n v="10681"/>
    <x v="46"/>
    <s v="Chicken Sandwiches"/>
    <n v="9.95"/>
    <n v="241.21"/>
    <s v="In-store "/>
    <s v=" Cash"/>
    <s v="Joao Silva"/>
    <x v="2"/>
    <x v="24"/>
    <x v="2"/>
  </r>
  <r>
    <n v="10682"/>
    <x v="46"/>
    <s v="Fries"/>
    <n v="3.49"/>
    <n v="630.37"/>
    <s v="In-store "/>
    <s v=" Cash"/>
    <s v="Joao Silva"/>
    <x v="2"/>
    <x v="7"/>
    <x v="2"/>
  </r>
  <r>
    <n v="10683"/>
    <x v="46"/>
    <s v="Beverages"/>
    <n v="2.95"/>
    <n v="677.97"/>
    <s v="In-store "/>
    <s v=" Cash"/>
    <s v="Joao Silva"/>
    <x v="2"/>
    <x v="6"/>
    <x v="2"/>
  </r>
  <r>
    <n v="10684"/>
    <x v="46"/>
    <s v="Sides &amp; Other"/>
    <n v="4.99"/>
    <n v="200.4"/>
    <s v="In-store "/>
    <s v=" Cash"/>
    <s v="Joao Silva"/>
    <x v="2"/>
    <x v="2"/>
    <x v="2"/>
  </r>
  <r>
    <n v="10685"/>
    <x v="47"/>
    <s v="Burgers"/>
    <n v="12.99"/>
    <n v="677.44"/>
    <s v="In-store "/>
    <s v=" Cash"/>
    <s v="Joao Silva"/>
    <x v="2"/>
    <x v="23"/>
    <x v="2"/>
  </r>
  <r>
    <n v="10686"/>
    <x v="47"/>
    <s v="Chicken Sandwiches"/>
    <n v="9.95"/>
    <n v="241.21"/>
    <s v="In-store "/>
    <s v=" Cash"/>
    <s v="Joao Silva"/>
    <x v="2"/>
    <x v="24"/>
    <x v="2"/>
  </r>
  <r>
    <n v="10687"/>
    <x v="47"/>
    <s v="Fries"/>
    <n v="3.49"/>
    <n v="630.37"/>
    <s v="In-store "/>
    <s v=" Cash"/>
    <s v="Walter Muller"/>
    <x v="3"/>
    <x v="7"/>
    <x v="3"/>
  </r>
  <r>
    <n v="10688"/>
    <x v="47"/>
    <s v="Beverages"/>
    <n v="2.95"/>
    <n v="677.97"/>
    <s v="In-store "/>
    <s v=" Cash"/>
    <s v="Walter Muller"/>
    <x v="3"/>
    <x v="6"/>
    <x v="3"/>
  </r>
  <r>
    <n v="10689"/>
    <x v="47"/>
    <s v="Sides &amp; Other"/>
    <n v="4.99"/>
    <n v="200.4"/>
    <s v="In-store "/>
    <s v=" Cash"/>
    <s v="Walter Muller"/>
    <x v="3"/>
    <x v="2"/>
    <x v="3"/>
  </r>
  <r>
    <n v="10690"/>
    <x v="48"/>
    <s v="Burgers"/>
    <n v="12.99"/>
    <n v="677.44"/>
    <s v="In-store "/>
    <s v=" Cash"/>
    <s v="Walter Muller"/>
    <x v="3"/>
    <x v="23"/>
    <x v="3"/>
  </r>
  <r>
    <n v="10691"/>
    <x v="48"/>
    <s v="Chicken Sandwiches"/>
    <n v="9.95"/>
    <n v="261.31"/>
    <s v="In-store "/>
    <s v=" Cash"/>
    <s v="Walter Muller"/>
    <x v="3"/>
    <x v="25"/>
    <x v="3"/>
  </r>
  <r>
    <n v="10692"/>
    <x v="48"/>
    <s v="Fries"/>
    <n v="3.49"/>
    <n v="630.37"/>
    <s v="In-store "/>
    <s v=" Cash"/>
    <s v="Walter Muller"/>
    <x v="3"/>
    <x v="7"/>
    <x v="3"/>
  </r>
  <r>
    <n v="10693"/>
    <x v="48"/>
    <s v="Beverages"/>
    <n v="2.95"/>
    <n v="677.97"/>
    <s v="In-store "/>
    <s v=" Cash"/>
    <s v="Walter Muller"/>
    <x v="3"/>
    <x v="6"/>
    <x v="3"/>
  </r>
  <r>
    <n v="10694"/>
    <x v="48"/>
    <s v="Sides &amp; Other"/>
    <n v="4.99"/>
    <n v="200.4"/>
    <s v="In-store "/>
    <s v=" Cash"/>
    <s v="Walter Muller"/>
    <x v="3"/>
    <x v="2"/>
    <x v="3"/>
  </r>
  <r>
    <n v="10695"/>
    <x v="49"/>
    <s v="Burgers"/>
    <n v="12.99"/>
    <n v="692.84"/>
    <s v="In-store "/>
    <s v=" Cash"/>
    <s v="Walter Muller"/>
    <x v="3"/>
    <x v="26"/>
    <x v="3"/>
  </r>
  <r>
    <n v="10696"/>
    <x v="49"/>
    <s v="Chicken Sandwiches"/>
    <n v="9.95"/>
    <n v="281.41"/>
    <s v="In-store "/>
    <s v=" Cash"/>
    <s v="Walter Muller"/>
    <x v="3"/>
    <x v="27"/>
    <x v="3"/>
  </r>
  <r>
    <n v="10697"/>
    <x v="49"/>
    <s v="Fries"/>
    <n v="3.49"/>
    <n v="630.37"/>
    <s v="In-store "/>
    <s v=" Cash"/>
    <s v="Walter Muller"/>
    <x v="3"/>
    <x v="7"/>
    <x v="3"/>
  </r>
  <r>
    <n v="10698"/>
    <x v="49"/>
    <s v="Beverages"/>
    <n v="2.95"/>
    <n v="677.97"/>
    <s v="In-store "/>
    <s v=" Cash"/>
    <s v="Walter Muller"/>
    <x v="3"/>
    <x v="6"/>
    <x v="3"/>
  </r>
  <r>
    <n v="10699"/>
    <x v="49"/>
    <s v="Sides &amp; Other"/>
    <n v="4.99"/>
    <n v="200.4"/>
    <s v="In-store "/>
    <s v=" Cash"/>
    <s v="Walter Muller"/>
    <x v="3"/>
    <x v="2"/>
    <x v="3"/>
  </r>
  <r>
    <n v="10700"/>
    <x v="50"/>
    <s v="Burgers"/>
    <n v="12.99"/>
    <n v="692.84"/>
    <s v="In-store "/>
    <s v=" Cash"/>
    <s v="Walter Muller"/>
    <x v="3"/>
    <x v="26"/>
    <x v="3"/>
  </r>
  <r>
    <n v="10701"/>
    <x v="50"/>
    <s v="Chicken Sandwiches"/>
    <n v="9.95"/>
    <n v="281.41"/>
    <s v="In-store "/>
    <s v=" Cash"/>
    <s v="Walter Muller"/>
    <x v="3"/>
    <x v="27"/>
    <x v="3"/>
  </r>
  <r>
    <n v="10702"/>
    <x v="50"/>
    <s v="Fries"/>
    <n v="3.49"/>
    <n v="630.37"/>
    <s v="In-store "/>
    <s v=" Cash"/>
    <s v="Walter Muller"/>
    <x v="3"/>
    <x v="7"/>
    <x v="3"/>
  </r>
  <r>
    <n v="10703"/>
    <x v="50"/>
    <s v="Beverages"/>
    <n v="2.95"/>
    <n v="677.97"/>
    <s v="In-store "/>
    <s v=" Gift Card"/>
    <s v="Walter Muller"/>
    <x v="3"/>
    <x v="6"/>
    <x v="3"/>
  </r>
  <r>
    <n v="10704"/>
    <x v="50"/>
    <s v="Sides &amp; Other"/>
    <n v="4.99"/>
    <n v="200.4"/>
    <s v="Drive-thru "/>
    <s v=" Gift Card"/>
    <s v="Walter Muller"/>
    <x v="3"/>
    <x v="2"/>
    <x v="3"/>
  </r>
  <r>
    <n v="10705"/>
    <x v="51"/>
    <s v="Burgers"/>
    <n v="12.99"/>
    <n v="723.63"/>
    <s v="Drive-thru "/>
    <s v=" Gift Card"/>
    <s v="Walter Muller"/>
    <x v="3"/>
    <x v="28"/>
    <x v="3"/>
  </r>
  <r>
    <n v="10706"/>
    <x v="51"/>
    <s v="Chicken Sandwiches"/>
    <n v="9.95"/>
    <n v="301.51"/>
    <s v="Drive-thru "/>
    <s v=" Gift Card"/>
    <s v="Walter Muller"/>
    <x v="3"/>
    <x v="29"/>
    <x v="3"/>
  </r>
  <r>
    <n v="10707"/>
    <x v="51"/>
    <s v="Fries"/>
    <n v="3.49"/>
    <n v="630.37"/>
    <s v="Drive-thru "/>
    <s v=" Gift Card"/>
    <s v="Walter Muller"/>
    <x v="3"/>
    <x v="7"/>
    <x v="3"/>
  </r>
  <r>
    <n v="10708"/>
    <x v="51"/>
    <s v="Beverages"/>
    <n v="2.95"/>
    <n v="677.97"/>
    <s v="Drive-thru "/>
    <s v=" Gift Card"/>
    <s v="Walter Muller"/>
    <x v="3"/>
    <x v="6"/>
    <x v="3"/>
  </r>
  <r>
    <n v="10709"/>
    <x v="51"/>
    <s v="Sides &amp; Other"/>
    <n v="4.99"/>
    <n v="200.4"/>
    <s v="Drive-thru "/>
    <s v=" Gift Card"/>
    <s v="Walter Muller"/>
    <x v="3"/>
    <x v="2"/>
    <x v="3"/>
  </r>
  <r>
    <n v="10710"/>
    <x v="52"/>
    <s v="Burgers"/>
    <n v="12.99"/>
    <n v="754.43"/>
    <s v="Drive-thru "/>
    <s v=" Gift Card"/>
    <s v="Walter Muller"/>
    <x v="3"/>
    <x v="30"/>
    <x v="3"/>
  </r>
  <r>
    <n v="10711"/>
    <x v="52"/>
    <s v="Chicken Sandwiches"/>
    <n v="9.95"/>
    <n v="281.41"/>
    <s v="Drive-thru "/>
    <s v=" Gift Card"/>
    <s v="Walter Muller"/>
    <x v="3"/>
    <x v="27"/>
    <x v="3"/>
  </r>
  <r>
    <n v="10712"/>
    <x v="52"/>
    <s v="Fries"/>
    <n v="3.49"/>
    <n v="630.37"/>
    <s v="Drive-thru "/>
    <s v=" Gift Card"/>
    <s v="Walter Muller"/>
    <x v="3"/>
    <x v="7"/>
    <x v="3"/>
  </r>
  <r>
    <n v="10713"/>
    <x v="52"/>
    <s v="Beverages"/>
    <n v="2.95"/>
    <n v="677.97"/>
    <s v="Drive-thru "/>
    <s v=" Gift Card"/>
    <s v="Walter Muller"/>
    <x v="3"/>
    <x v="6"/>
    <x v="3"/>
  </r>
  <r>
    <m/>
    <x v="53"/>
    <m/>
    <m/>
    <m/>
    <m/>
    <m/>
    <m/>
    <x v="5"/>
    <x v="31"/>
    <x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55">
  <r>
    <n v="10452"/>
    <d v="2022-11-07T00:00:00"/>
    <x v="0"/>
    <n v="3.49"/>
    <x v="0"/>
    <s v="Online "/>
    <s v=" Gift Card"/>
    <s v="Tom      Jackson"/>
    <s v="London"/>
    <x v="0"/>
    <s v="Tom Jackson"/>
  </r>
  <r>
    <n v="10453"/>
    <d v="2022-11-07T00:00:00"/>
    <x v="1"/>
    <n v="2.95"/>
    <x v="1"/>
    <s v="Online "/>
    <s v=" Gift Card"/>
    <s v="       Pablo Perez"/>
    <s v="Madrid"/>
    <x v="1"/>
    <s v="Pablo Perez"/>
  </r>
  <r>
    <n v="10454"/>
    <d v="2022-11-07T00:00:00"/>
    <x v="2"/>
    <n v="4.99"/>
    <x v="2"/>
    <s v="In-store "/>
    <s v=" Gift Card"/>
    <s v="Joao    Silva"/>
    <s v="Lisbon"/>
    <x v="2"/>
    <s v="Joao Silva"/>
  </r>
  <r>
    <n v="10455"/>
    <d v="2022-11-08T00:00:00"/>
    <x v="3"/>
    <n v="12.99"/>
    <x v="3"/>
    <s v="In-store "/>
    <s v=" Credit Card"/>
    <s v="Walter Muller"/>
    <s v="Berlin"/>
    <x v="3"/>
    <s v="Walter Muller"/>
  </r>
  <r>
    <n v="10456"/>
    <d v="2022-11-08T00:00:00"/>
    <x v="4"/>
    <n v="9.95"/>
    <x v="4"/>
    <s v="In-store "/>
    <s v=" Credit Card"/>
    <s v="Walter Muller"/>
    <s v="Berlin"/>
    <x v="4"/>
    <s v="Walter Muller"/>
  </r>
  <r>
    <n v="10457"/>
    <d v="2022-11-08T00:00:00"/>
    <x v="0"/>
    <n v="3.49"/>
    <x v="0"/>
    <s v="In-store "/>
    <s v=" Credit Card"/>
    <s v="Remy    Monet"/>
    <s v="Paris"/>
    <x v="0"/>
    <s v="Remy Monet"/>
  </r>
  <r>
    <n v="10459"/>
    <d v="2022-11-08T00:00:00"/>
    <x v="2"/>
    <n v="4.99"/>
    <x v="2"/>
    <s v="In-store "/>
    <s v=" Credit Card"/>
    <s v="Walter Muller"/>
    <s v="Berlin"/>
    <x v="2"/>
    <s v="Walter Muller"/>
  </r>
  <r>
    <n v="10460"/>
    <d v="2022-11-09T00:00:00"/>
    <x v="3"/>
    <n v="12.99"/>
    <x v="5"/>
    <s v="In-store "/>
    <s v=" Credit Card"/>
    <s v="Remy Monet"/>
    <s v="Paris"/>
    <x v="5"/>
    <s v="Remy Monet"/>
  </r>
  <r>
    <n v="10461"/>
    <d v="2022-11-09T00:00:00"/>
    <x v="4"/>
    <n v="9.95"/>
    <x v="4"/>
    <s v="In-store "/>
    <s v=" Credit Card"/>
    <s v="Remy Monet"/>
    <s v="Paris"/>
    <x v="4"/>
    <s v="Remy Monet"/>
  </r>
  <r>
    <n v="10462"/>
    <d v="2022-11-09T00:00:00"/>
    <x v="0"/>
    <n v="3.49"/>
    <x v="0"/>
    <s v="In-store "/>
    <s v=" Credit Card"/>
    <s v="       Remy Monet"/>
    <s v="Paris"/>
    <x v="0"/>
    <s v="Remy Monet"/>
  </r>
  <r>
    <n v="10463"/>
    <d v="2022-11-09T00:00:00"/>
    <x v="1"/>
    <n v="2.95"/>
    <x v="6"/>
    <s v="In-store "/>
    <s v=" Credit Card"/>
    <s v="       Remy Monet"/>
    <s v="Paris"/>
    <x v="6"/>
    <s v="Remy Monet"/>
  </r>
  <r>
    <n v="10464"/>
    <d v="2022-11-09T00:00:00"/>
    <x v="2"/>
    <n v="4.99"/>
    <x v="2"/>
    <s v="In-store "/>
    <s v=" Credit Card"/>
    <s v="Remy     Monet"/>
    <s v="Paris"/>
    <x v="2"/>
    <s v="Remy Monet"/>
  </r>
  <r>
    <n v="10465"/>
    <d v="2022-11-10T00:00:00"/>
    <x v="3"/>
    <n v="12.99"/>
    <x v="5"/>
    <s v="In-store "/>
    <s v=" Credit Card"/>
    <s v="Pablo Perez"/>
    <s v="Madrid"/>
    <x v="5"/>
    <s v="Pablo Perez"/>
  </r>
  <r>
    <n v="10466"/>
    <d v="2022-11-10T00:00:00"/>
    <x v="4"/>
    <n v="9.95"/>
    <x v="4"/>
    <s v="In-store "/>
    <s v=" Credit Card"/>
    <s v="Pablo Perez"/>
    <s v="Madrid"/>
    <x v="4"/>
    <s v="Pablo Perez"/>
  </r>
  <r>
    <n v="10467"/>
    <d v="2022-11-10T00:00:00"/>
    <x v="0"/>
    <n v="3.49"/>
    <x v="0"/>
    <s v="In-store "/>
    <s v=" Credit Card"/>
    <s v="Pablo Perez"/>
    <s v="Madrid"/>
    <x v="0"/>
    <s v="Pablo Perez"/>
  </r>
  <r>
    <n v="10468"/>
    <d v="2022-11-10T00:00:00"/>
    <x v="1"/>
    <n v="2.95"/>
    <x v="6"/>
    <s v="In-store "/>
    <s v=" Credit Card"/>
    <s v="       Pablo Perez"/>
    <s v="Madrid"/>
    <x v="6"/>
    <s v="Pablo Perez"/>
  </r>
  <r>
    <n v="10470"/>
    <d v="2022-11-11T00:00:00"/>
    <x v="3"/>
    <n v="12.99"/>
    <x v="5"/>
    <s v="In-store "/>
    <s v=" Credit Card"/>
    <s v="       Pablo Perez"/>
    <s v="Madrid"/>
    <x v="5"/>
    <s v="Pablo Perez"/>
  </r>
  <r>
    <n v="10471"/>
    <d v="2022-11-11T00:00:00"/>
    <x v="4"/>
    <n v="9.95"/>
    <x v="4"/>
    <s v="In-store "/>
    <s v=" Credit Card"/>
    <s v="       Pablo Perez"/>
    <s v="Madrid"/>
    <x v="4"/>
    <s v="Pablo Perez"/>
  </r>
  <r>
    <n v="10472"/>
    <d v="2022-11-11T00:00:00"/>
    <x v="0"/>
    <n v="3.49"/>
    <x v="7"/>
    <s v="In-store "/>
    <s v=" Credit Card"/>
    <s v="Pablo   Perez"/>
    <s v="Madrid"/>
    <x v="7"/>
    <s v="Pablo Perez"/>
  </r>
  <r>
    <n v="10473"/>
    <d v="2022-11-11T00:00:00"/>
    <x v="1"/>
    <n v="2.95"/>
    <x v="6"/>
    <s v="In-store "/>
    <s v=" Credit Card"/>
    <s v="       Pablo Perez"/>
    <s v="Madrid"/>
    <x v="6"/>
    <s v="Pablo Perez"/>
  </r>
  <r>
    <n v="10474"/>
    <d v="2022-11-11T00:00:00"/>
    <x v="2"/>
    <n v="4.99"/>
    <x v="2"/>
    <s v="In-store "/>
    <s v=" Credit Card"/>
    <s v="       Pablo Perez"/>
    <s v="Madrid"/>
    <x v="2"/>
    <s v="Pablo Perez"/>
  </r>
  <r>
    <n v="10475"/>
    <d v="2022-11-12T00:00:00"/>
    <x v="3"/>
    <n v="12.99"/>
    <x v="8"/>
    <s v="In-store "/>
    <s v=" Credit Card"/>
    <s v="       Pablo Perez"/>
    <s v="Madrid"/>
    <x v="8"/>
    <s v="Pablo Perez"/>
  </r>
  <r>
    <n v="10476"/>
    <d v="2022-11-12T00:00:00"/>
    <x v="4"/>
    <n v="9.95"/>
    <x v="4"/>
    <s v="In-store "/>
    <s v=" Credit Card"/>
    <s v="Pablo Perez"/>
    <s v="Madrid"/>
    <x v="4"/>
    <s v="Pablo Perez"/>
  </r>
  <r>
    <n v="10477"/>
    <d v="2022-11-12T00:00:00"/>
    <x v="0"/>
    <n v="3.49"/>
    <x v="7"/>
    <s v="In-store "/>
    <s v=" Credit Card"/>
    <s v="Pablo  Perez"/>
    <s v="Madrid"/>
    <x v="7"/>
    <s v="Pablo Perez"/>
  </r>
  <r>
    <n v="10478"/>
    <d v="2022-11-12T00:00:00"/>
    <x v="1"/>
    <n v="2.95"/>
    <x v="6"/>
    <s v="In-store "/>
    <s v=" Credit Card"/>
    <s v="Pablo Perez"/>
    <s v="Madrid"/>
    <x v="6"/>
    <s v="Pablo Perez"/>
  </r>
  <r>
    <n v="10479"/>
    <d v="2022-11-12T00:00:00"/>
    <x v="2"/>
    <n v="4.99"/>
    <x v="2"/>
    <s v="In-store "/>
    <s v=" Credit Card"/>
    <s v="Pablo    Perez"/>
    <s v="Madrid"/>
    <x v="2"/>
    <s v="Pablo Perez"/>
  </r>
  <r>
    <n v="10480"/>
    <d v="2022-11-13T00:00:00"/>
    <x v="3"/>
    <n v="12.99"/>
    <x v="9"/>
    <s v="In-store "/>
    <s v=" Credit Card"/>
    <s v="Pablo Perez"/>
    <s v="Madrid"/>
    <x v="9"/>
    <s v="Pablo Perez"/>
  </r>
  <r>
    <n v="10481"/>
    <d v="2022-11-13T00:00:00"/>
    <x v="4"/>
    <n v="9.95"/>
    <x v="4"/>
    <s v="In-store "/>
    <s v=" Credit Card"/>
    <s v="Pablo Perez"/>
    <s v="Madrid"/>
    <x v="4"/>
    <s v="Pablo Perez"/>
  </r>
  <r>
    <n v="10482"/>
    <d v="2022-11-13T00:00:00"/>
    <x v="0"/>
    <n v="25.5"/>
    <x v="7"/>
    <s v="In-store "/>
    <s v=" Credit Card"/>
    <s v="Joao Silva"/>
    <s v="Lisbon"/>
    <x v="10"/>
    <s v="Joao Silva"/>
  </r>
  <r>
    <n v="10486"/>
    <d v="2022-11-14T00:00:00"/>
    <x v="4"/>
    <n v="29.05"/>
    <x v="4"/>
    <s v="In-store "/>
    <s v=" Credit Card"/>
    <s v="Joao    Silva"/>
    <s v="Lisbon"/>
    <x v="11"/>
    <s v="Joao Silva"/>
  </r>
  <r>
    <n v="10487"/>
    <d v="2022-11-14T00:00:00"/>
    <x v="0"/>
    <n v="3.49"/>
    <x v="7"/>
    <s v="In-store "/>
    <s v=" Credit Card"/>
    <s v="Joao Silva"/>
    <s v="Lisbon"/>
    <x v="7"/>
    <s v="Joao Silva"/>
  </r>
  <r>
    <n v="10488"/>
    <d v="2022-11-14T00:00:00"/>
    <x v="1"/>
    <n v="2.95"/>
    <x v="6"/>
    <s v="In-store "/>
    <s v=" Credit Card"/>
    <s v="Joao Silva"/>
    <s v="Lisbon"/>
    <x v="6"/>
    <s v="Joao Silva"/>
  </r>
  <r>
    <n v="10489"/>
    <d v="2022-11-14T00:00:00"/>
    <x v="2"/>
    <n v="4.99"/>
    <x v="2"/>
    <s v="In-store "/>
    <s v=" Credit Card"/>
    <s v="Pablo Perez"/>
    <s v="Madrid"/>
    <x v="2"/>
    <s v="Pablo Perez"/>
  </r>
  <r>
    <n v="10490"/>
    <d v="2022-11-15T00:00:00"/>
    <x v="3"/>
    <n v="12.99"/>
    <x v="9"/>
    <s v="In-store "/>
    <s v=" Credit Card"/>
    <s v="Pablo Perez"/>
    <s v="Madrid"/>
    <x v="9"/>
    <s v="Pablo Perez"/>
  </r>
  <r>
    <n v="10491"/>
    <d v="2022-11-15T00:00:00"/>
    <x v="4"/>
    <n v="9.95"/>
    <x v="4"/>
    <s v="In-store "/>
    <s v=" Credit Card"/>
    <s v="Pablo Perez"/>
    <s v="Madrid"/>
    <x v="4"/>
    <s v="Pablo Perez"/>
  </r>
  <r>
    <n v="10492"/>
    <d v="2022-11-15T00:00:00"/>
    <x v="0"/>
    <n v="3.49"/>
    <x v="0"/>
    <s v="In-store "/>
    <s v=" Credit Card"/>
    <s v="Pablo Perez"/>
    <s v="Madrid"/>
    <x v="0"/>
    <s v="Pablo Perez"/>
  </r>
  <r>
    <n v="10493"/>
    <d v="2022-11-15T00:00:00"/>
    <x v="1"/>
    <n v="2.95"/>
    <x v="6"/>
    <s v="In-store "/>
    <s v=" Credit Card"/>
    <s v="Pablo Perez"/>
    <s v="Madrid"/>
    <x v="6"/>
    <s v="Pablo Perez"/>
  </r>
  <r>
    <n v="10494"/>
    <d v="2022-11-15T00:00:00"/>
    <x v="2"/>
    <n v="4.99"/>
    <x v="2"/>
    <s v="In-store "/>
    <s v=" Credit Card"/>
    <s v="Pablo Perez"/>
    <s v="Madrid"/>
    <x v="2"/>
    <s v="Pablo Perez"/>
  </r>
  <r>
    <n v="10495"/>
    <d v="2022-11-16T00:00:00"/>
    <x v="3"/>
    <n v="12.99"/>
    <x v="9"/>
    <s v="In-store "/>
    <s v=" Credit Card"/>
    <s v="Pablo Perez"/>
    <s v="Madrid"/>
    <x v="9"/>
    <s v="Pablo Perez"/>
  </r>
  <r>
    <n v="10496"/>
    <d v="2022-11-16T00:00:00"/>
    <x v="4"/>
    <n v="9.95"/>
    <x v="4"/>
    <s v="In-store "/>
    <s v=" Credit Card"/>
    <s v="Pablo Perez"/>
    <s v="Madrid"/>
    <x v="4"/>
    <s v="Pablo Perez"/>
  </r>
  <r>
    <n v="10497"/>
    <d v="2022-11-16T00:00:00"/>
    <x v="0"/>
    <n v="3.49"/>
    <x v="0"/>
    <s v="In-store "/>
    <s v=" Credit Card"/>
    <s v="Pablo Perez"/>
    <s v="Madrid"/>
    <x v="0"/>
    <s v="Pablo Perez"/>
  </r>
  <r>
    <n v="10498"/>
    <d v="2022-11-16T00:00:00"/>
    <x v="1"/>
    <n v="2.95"/>
    <x v="6"/>
    <s v="Drive-thru "/>
    <s v=" Credit Card"/>
    <s v="Pablo Perez"/>
    <s v="Madrid"/>
    <x v="6"/>
    <s v="Pablo Perez"/>
  </r>
  <r>
    <n v="10499"/>
    <d v="2022-11-16T00:00:00"/>
    <x v="2"/>
    <n v="4.99"/>
    <x v="2"/>
    <s v="Drive-thru "/>
    <s v=" Credit Card"/>
    <s v="Pablo Perez"/>
    <s v="Madrid"/>
    <x v="2"/>
    <s v="Pablo Perez"/>
  </r>
  <r>
    <n v="10500"/>
    <d v="2022-11-17T00:00:00"/>
    <x v="3"/>
    <n v="12.99"/>
    <x v="8"/>
    <s v="Drive-thru "/>
    <s v=" Credit Card"/>
    <s v="Pablo Perez"/>
    <s v="Madrid"/>
    <x v="8"/>
    <s v="Pablo Perez"/>
  </r>
  <r>
    <n v="10501"/>
    <d v="2022-11-17T00:00:00"/>
    <x v="4"/>
    <n v="9.95"/>
    <x v="4"/>
    <s v="Drive-thru "/>
    <s v=" Credit Card"/>
    <s v="Pablo Perez"/>
    <s v="Madrid"/>
    <x v="4"/>
    <s v="Pablo Perez"/>
  </r>
  <r>
    <n v="10502"/>
    <d v="2022-11-17T00:00:00"/>
    <x v="0"/>
    <n v="3.49"/>
    <x v="7"/>
    <s v="Drive-thru "/>
    <s v=" Credit Card"/>
    <s v="Pablo Perez"/>
    <s v="Madrid"/>
    <x v="7"/>
    <s v="Pablo Perez"/>
  </r>
  <r>
    <n v="10503"/>
    <d v="2022-11-17T00:00:00"/>
    <x v="1"/>
    <n v="2.95"/>
    <x v="6"/>
    <s v="Drive-thru "/>
    <s v=" Credit Card"/>
    <s v="Pablo Perez"/>
    <s v="Madrid"/>
    <x v="6"/>
    <s v="Pablo Perez"/>
  </r>
  <r>
    <n v="10504"/>
    <d v="2022-11-17T00:00:00"/>
    <x v="2"/>
    <n v="4.99"/>
    <x v="2"/>
    <s v="Drive-thru "/>
    <s v=" Credit Card"/>
    <s v="Pablo Perez"/>
    <s v="Madrid"/>
    <x v="2"/>
    <s v="Pablo Perez"/>
  </r>
  <r>
    <n v="10505"/>
    <d v="2022-11-18T00:00:00"/>
    <x v="3"/>
    <n v="12.99"/>
    <x v="10"/>
    <s v="Drive-thru "/>
    <s v=" Credit Card"/>
    <s v="Pablo Perez"/>
    <s v="Madrid"/>
    <x v="12"/>
    <s v="Pablo Perez"/>
  </r>
  <r>
    <n v="10506"/>
    <d v="2022-11-18T00:00:00"/>
    <x v="4"/>
    <n v="9.95"/>
    <x v="4"/>
    <s v="Drive-thru "/>
    <s v=" Credit Card"/>
    <s v="Pablo Perez"/>
    <s v="Madrid"/>
    <x v="4"/>
    <s v="Pablo Perez"/>
  </r>
  <r>
    <n v="10507"/>
    <d v="2022-11-18T00:00:00"/>
    <x v="0"/>
    <n v="3.49"/>
    <x v="11"/>
    <s v="Drive-thru "/>
    <s v=" Credit Card"/>
    <s v="Pablo Perez"/>
    <s v="Madrid"/>
    <x v="13"/>
    <s v="Pablo Perez"/>
  </r>
  <r>
    <n v="10508"/>
    <d v="2022-11-18T00:00:00"/>
    <x v="1"/>
    <n v="2.95"/>
    <x v="6"/>
    <s v="Drive-thru "/>
    <s v=" Credit Card"/>
    <s v="Pablo Perez"/>
    <s v="Madrid"/>
    <x v="6"/>
    <s v="Pablo Perez"/>
  </r>
  <r>
    <n v="10509"/>
    <d v="2022-11-18T00:00:00"/>
    <x v="2"/>
    <n v="4.99"/>
    <x v="2"/>
    <s v="Drive-thru "/>
    <s v=" Credit Card"/>
    <s v="Pablo Perez"/>
    <s v="Madrid"/>
    <x v="2"/>
    <s v="Pablo Perez"/>
  </r>
  <r>
    <n v="10510"/>
    <d v="2022-11-19T00:00:00"/>
    <x v="3"/>
    <n v="12.99"/>
    <x v="9"/>
    <s v="Drive-thru "/>
    <s v=" Credit Card"/>
    <s v="Pablo Perez"/>
    <s v="Madrid"/>
    <x v="9"/>
    <s v="Pablo Perez"/>
  </r>
  <r>
    <n v="10511"/>
    <d v="2022-11-19T00:00:00"/>
    <x v="4"/>
    <n v="9.95"/>
    <x v="4"/>
    <s v="Drive-thru "/>
    <s v=" Credit Card"/>
    <s v="Joao Silva"/>
    <s v="Lisbon"/>
    <x v="4"/>
    <s v="Joao Silva"/>
  </r>
  <r>
    <n v="10512"/>
    <d v="2022-11-19T00:00:00"/>
    <x v="0"/>
    <n v="3.49"/>
    <x v="11"/>
    <s v="Drive-thru "/>
    <s v=" Credit Card"/>
    <s v="Joao Silva"/>
    <s v="Lisbon"/>
    <x v="13"/>
    <s v="Joao Silva"/>
  </r>
  <r>
    <n v="10513"/>
    <d v="2022-11-19T00:00:00"/>
    <x v="1"/>
    <n v="2.95"/>
    <x v="6"/>
    <s v="Drive-thru "/>
    <s v=" Cash"/>
    <s v="Joao Silva"/>
    <s v="Lisbon"/>
    <x v="6"/>
    <s v="Joao Silva"/>
  </r>
  <r>
    <n v="10514"/>
    <d v="2022-11-19T00:00:00"/>
    <x v="2"/>
    <n v="4.99"/>
    <x v="2"/>
    <s v="Drive-thru "/>
    <s v=" Cash"/>
    <s v="Joao Silva"/>
    <s v="Lisbon"/>
    <x v="2"/>
    <s v="Joao Silva"/>
  </r>
  <r>
    <n v="10515"/>
    <d v="2022-11-20T00:00:00"/>
    <x v="3"/>
    <n v="12.99"/>
    <x v="12"/>
    <s v="Drive-thru "/>
    <s v=" Cash"/>
    <s v="Joao Silva"/>
    <s v="Lisbon"/>
    <x v="14"/>
    <s v="Joao Silva"/>
  </r>
  <r>
    <n v="10516"/>
    <d v="2022-11-20T00:00:00"/>
    <x v="4"/>
    <n v="9.95"/>
    <x v="4"/>
    <s v="Drive-thru "/>
    <s v=" Cash"/>
    <s v="Joao Silva"/>
    <s v="Lisbon"/>
    <x v="4"/>
    <s v="Joao Silva"/>
  </r>
  <r>
    <n v="10483"/>
    <d v="2022-11-13T00:00:00"/>
    <x v="1"/>
    <n v="2.95"/>
    <x v="6"/>
    <s v="In-store "/>
    <s v=" Credit Card"/>
    <s v="Joao    Silva"/>
    <s v="Lisbon"/>
    <x v="6"/>
    <s v="Joao Silva"/>
  </r>
  <r>
    <n v="10484"/>
    <d v="2022-11-13T00:00:00"/>
    <x v="2"/>
    <n v="4.99"/>
    <x v="2"/>
    <s v="In-store "/>
    <s v=" Credit Card"/>
    <s v="Joao    Silva"/>
    <s v="Lisbon"/>
    <x v="2"/>
    <s v="Joao Silva"/>
  </r>
  <r>
    <n v="10485"/>
    <d v="2022-11-14T00:00:00"/>
    <x v="3"/>
    <n v="12.99"/>
    <x v="8"/>
    <s v="In-store "/>
    <s v=" Credit Card"/>
    <s v="Joao    Silva"/>
    <s v="Lisbon"/>
    <x v="8"/>
    <s v="Joao Silva"/>
  </r>
  <r>
    <n v="10520"/>
    <d v="2022-11-21T00:00:00"/>
    <x v="3"/>
    <n v="12.99"/>
    <x v="13"/>
    <s v="Drive-thru "/>
    <s v=" Cash"/>
    <s v="Remy Monet"/>
    <s v="Paris"/>
    <x v="15"/>
    <s v="Remy Monet"/>
  </r>
  <r>
    <n v="10521"/>
    <d v="2022-11-21T00:00:00"/>
    <x v="4"/>
    <n v="9.95"/>
    <x v="4"/>
    <s v="Drive-thru "/>
    <s v=" Cash"/>
    <s v="Remy Monet"/>
    <s v="Paris"/>
    <x v="4"/>
    <s v="Remy Monet"/>
  </r>
  <r>
    <n v="10522"/>
    <d v="2022-11-21T00:00:00"/>
    <x v="0"/>
    <n v="3.49"/>
    <x v="11"/>
    <s v="Drive-thru "/>
    <s v=" Cash"/>
    <s v="Remy Monet"/>
    <s v="Paris"/>
    <x v="13"/>
    <s v="Remy Monet"/>
  </r>
  <r>
    <n v="10523"/>
    <d v="2022-11-21T00:00:00"/>
    <x v="1"/>
    <n v="2.95"/>
    <x v="1"/>
    <s v="Drive-thru "/>
    <s v=" Cash"/>
    <s v="Remy Monet"/>
    <s v="Paris"/>
    <x v="1"/>
    <s v="Remy Monet"/>
  </r>
  <r>
    <n v="10524"/>
    <d v="2022-11-21T00:00:00"/>
    <x v="2"/>
    <n v="4.99"/>
    <x v="2"/>
    <s v="Drive-thru "/>
    <s v=" Cash"/>
    <s v="Remy Monet"/>
    <s v="Paris"/>
    <x v="2"/>
    <s v="Remy Monet"/>
  </r>
  <r>
    <n v="10525"/>
    <d v="2022-11-22T00:00:00"/>
    <x v="3"/>
    <n v="12.99"/>
    <x v="14"/>
    <s v="Drive-thru "/>
    <s v=" Cash"/>
    <s v="Remy Monet"/>
    <s v="Paris"/>
    <x v="16"/>
    <s v="Remy Monet"/>
  </r>
  <r>
    <n v="10526"/>
    <d v="2022-11-22T00:00:00"/>
    <x v="4"/>
    <n v="9.95"/>
    <x v="4"/>
    <s v="Drive-thru "/>
    <s v=" Cash"/>
    <s v="Remy Monet"/>
    <s v="Paris"/>
    <x v="4"/>
    <s v="Remy Monet"/>
  </r>
  <r>
    <n v="10527"/>
    <d v="2022-11-22T00:00:00"/>
    <x v="0"/>
    <n v="3.49"/>
    <x v="11"/>
    <s v="Drive-thru "/>
    <s v=" Cash"/>
    <s v="Remy Monet"/>
    <s v="Paris"/>
    <x v="13"/>
    <s v="Remy Monet"/>
  </r>
  <r>
    <n v="10528"/>
    <d v="2022-11-22T00:00:00"/>
    <x v="1"/>
    <n v="2.95"/>
    <x v="1"/>
    <s v="Drive-thru "/>
    <s v=" Cash"/>
    <s v="Remy Monet"/>
    <s v="Paris"/>
    <x v="1"/>
    <s v="Remy Monet"/>
  </r>
  <r>
    <n v="10529"/>
    <d v="2022-11-22T00:00:00"/>
    <x v="2"/>
    <n v="4.99"/>
    <x v="2"/>
    <s v="Drive-thru "/>
    <s v=" Cash"/>
    <s v="Remy Monet"/>
    <s v="Paris"/>
    <x v="2"/>
    <s v="Remy Monet"/>
  </r>
  <r>
    <n v="10530"/>
    <d v="2022-11-23T00:00:00"/>
    <x v="3"/>
    <n v="12.99"/>
    <x v="12"/>
    <s v="Drive-thru "/>
    <s v=" Cash"/>
    <s v="Remy Monet"/>
    <s v="Paris"/>
    <x v="14"/>
    <s v="Remy Monet"/>
  </r>
  <r>
    <n v="10531"/>
    <d v="2022-11-23T00:00:00"/>
    <x v="4"/>
    <n v="9.95"/>
    <x v="4"/>
    <s v="Drive-thru "/>
    <s v=" Cash"/>
    <s v="Remy Monet"/>
    <s v="Paris"/>
    <x v="4"/>
    <s v="Remy Monet"/>
  </r>
  <r>
    <n v="10532"/>
    <d v="2022-11-23T00:00:00"/>
    <x v="0"/>
    <n v="3.49"/>
    <x v="11"/>
    <s v="Drive-thru "/>
    <s v=" Cash"/>
    <s v="Joao Silva"/>
    <s v="Lisbon"/>
    <x v="13"/>
    <s v="Joao Silva"/>
  </r>
  <r>
    <n v="10533"/>
    <d v="2022-11-23T00:00:00"/>
    <x v="1"/>
    <n v="2.95"/>
    <x v="1"/>
    <s v="Drive-thru "/>
    <s v=" Cash"/>
    <s v="Joao Silva"/>
    <s v="Lisbon"/>
    <x v="1"/>
    <s v="Joao Silva"/>
  </r>
  <r>
    <n v="10534"/>
    <d v="2022-11-23T00:00:00"/>
    <x v="2"/>
    <n v="4.99"/>
    <x v="2"/>
    <s v="Drive-thru "/>
    <s v=" Cash"/>
    <s v="Pablo Perez"/>
    <s v="Madrid"/>
    <x v="2"/>
    <s v="Pablo Perez"/>
  </r>
  <r>
    <n v="10535"/>
    <d v="2022-11-24T00:00:00"/>
    <x v="3"/>
    <n v="12.99"/>
    <x v="12"/>
    <s v="Drive-thru "/>
    <s v=" Credit Card"/>
    <s v="Pablo Perez"/>
    <s v="Madrid"/>
    <x v="14"/>
    <s v="Pablo Perez"/>
  </r>
  <r>
    <n v="10536"/>
    <d v="2022-11-24T00:00:00"/>
    <x v="4"/>
    <n v="9.95"/>
    <x v="4"/>
    <s v="Drive-thru "/>
    <s v=" Credit Card"/>
    <s v="Pablo Perez"/>
    <s v="Madrid"/>
    <x v="4"/>
    <s v="Pablo Perez"/>
  </r>
  <r>
    <n v="10540"/>
    <d v="2022-11-25T00:00:00"/>
    <x v="3"/>
    <n v="12.99"/>
    <x v="14"/>
    <s v="Drive-thru "/>
    <s v=" Credit Card"/>
    <s v="Pablo Perez"/>
    <s v="Madrid"/>
    <x v="16"/>
    <s v="Pablo Perez"/>
  </r>
  <r>
    <n v="10541"/>
    <d v="2022-11-25T00:00:00"/>
    <x v="4"/>
    <n v="9.95"/>
    <x v="4"/>
    <s v="Drive-thru "/>
    <s v=" Credit Card"/>
    <s v="Tom Jackson"/>
    <s v="London"/>
    <x v="4"/>
    <s v="Tom Jackson"/>
  </r>
  <r>
    <n v="10542"/>
    <d v="2022-11-25T00:00:00"/>
    <x v="0"/>
    <n v="3.49"/>
    <x v="7"/>
    <s v="Drive-thru "/>
    <s v=" Credit Card"/>
    <s v="Tom Jackson"/>
    <s v="London"/>
    <x v="7"/>
    <s v="Tom Jackson"/>
  </r>
  <r>
    <n v="10543"/>
    <d v="2022-11-25T00:00:00"/>
    <x v="1"/>
    <n v="2.95"/>
    <x v="1"/>
    <s v="Drive-thru "/>
    <s v=" Credit Card"/>
    <s v="Tom Jackson"/>
    <s v="London"/>
    <x v="1"/>
    <s v="Tom Jackson"/>
  </r>
  <r>
    <n v="10544"/>
    <d v="2022-11-25T00:00:00"/>
    <x v="2"/>
    <n v="4.99"/>
    <x v="2"/>
    <s v="Drive-thru "/>
    <s v=" Credit Card"/>
    <s v="Tom Jackson"/>
    <s v="London"/>
    <x v="2"/>
    <s v="Tom Jackson"/>
  </r>
  <r>
    <n v="10545"/>
    <d v="2022-11-26T00:00:00"/>
    <x v="3"/>
    <n v="12.99"/>
    <x v="15"/>
    <s v="Drive-thru "/>
    <s v=" Credit Card"/>
    <s v="Tom Jackson"/>
    <s v="London"/>
    <x v="17"/>
    <s v="Tom Jackson"/>
  </r>
  <r>
    <n v="10546"/>
    <d v="2022-11-26T00:00:00"/>
    <x v="4"/>
    <n v="9.95"/>
    <x v="4"/>
    <s v="Drive-thru "/>
    <s v=" Credit Card"/>
    <s v="Tom Jackson"/>
    <s v="London"/>
    <x v="4"/>
    <s v="Tom Jackson"/>
  </r>
  <r>
    <n v="10547"/>
    <d v="2022-11-26T00:00:00"/>
    <x v="0"/>
    <n v="3.49"/>
    <x v="7"/>
    <s v="Drive-thru "/>
    <s v=" Credit Card"/>
    <s v="Tom Jackson"/>
    <s v="London"/>
    <x v="7"/>
    <s v="Tom Jackson"/>
  </r>
  <r>
    <n v="10548"/>
    <d v="2022-11-26T00:00:00"/>
    <x v="1"/>
    <n v="2.95"/>
    <x v="1"/>
    <s v="Drive-thru "/>
    <s v=" Credit Card"/>
    <s v="Tom Jackson"/>
    <s v="London"/>
    <x v="1"/>
    <s v="Tom Jackson"/>
  </r>
  <r>
    <n v="10549"/>
    <d v="2022-11-26T00:00:00"/>
    <x v="2"/>
    <n v="4.99"/>
    <x v="2"/>
    <s v="Drive-thru "/>
    <s v=" Credit Card"/>
    <s v="Tom Jackson"/>
    <s v="London"/>
    <x v="2"/>
    <s v="Tom Jackson"/>
  </r>
  <r>
    <n v="10550"/>
    <d v="2022-11-27T00:00:00"/>
    <x v="3"/>
    <n v="12.99"/>
    <x v="14"/>
    <s v="Drive-thru "/>
    <s v=" Credit Card"/>
    <s v="Tom Jackson"/>
    <s v="London"/>
    <x v="16"/>
    <s v="Tom Jackson"/>
  </r>
  <r>
    <n v="10551"/>
    <d v="2022-11-27T00:00:00"/>
    <x v="4"/>
    <n v="9.95"/>
    <x v="4"/>
    <s v="Drive-thru "/>
    <s v=" Credit Card"/>
    <s v="Tom Jackson"/>
    <s v="London"/>
    <x v="4"/>
    <s v="Tom Jackson"/>
  </r>
  <r>
    <n v="10552"/>
    <d v="2022-11-27T00:00:00"/>
    <x v="0"/>
    <n v="3.49"/>
    <x v="7"/>
    <s v="Online "/>
    <s v=" Credit Card"/>
    <s v="Tom Jackson"/>
    <s v="London"/>
    <x v="7"/>
    <s v="Tom Jackson"/>
  </r>
  <r>
    <n v="10553"/>
    <d v="2022-11-27T00:00:00"/>
    <x v="1"/>
    <n v="2.95"/>
    <x v="1"/>
    <s v="Online "/>
    <s v=" Credit Card"/>
    <s v="Tom Jackson"/>
    <s v="London"/>
    <x v="1"/>
    <s v="Tom Jackson"/>
  </r>
  <r>
    <n v="10554"/>
    <d v="2022-11-27T00:00:00"/>
    <x v="2"/>
    <n v="4.99"/>
    <x v="2"/>
    <s v="Online "/>
    <s v=" Credit Card"/>
    <s v="Tom Jackson"/>
    <s v="London"/>
    <x v="2"/>
    <s v="Tom Jackson"/>
  </r>
  <r>
    <n v="10555"/>
    <d v="2022-11-28T00:00:00"/>
    <x v="3"/>
    <n v="12.99"/>
    <x v="12"/>
    <s v="Online "/>
    <s v=" Credit Card"/>
    <s v="Tom Jackson"/>
    <s v="London"/>
    <x v="14"/>
    <s v="Tom Jackson"/>
  </r>
  <r>
    <n v="10556"/>
    <d v="2022-11-28T00:00:00"/>
    <x v="4"/>
    <n v="9.95"/>
    <x v="4"/>
    <s v="Online "/>
    <s v=" Credit Card"/>
    <s v="Tom Jackson"/>
    <s v="London"/>
    <x v="4"/>
    <s v="Tom Jackson"/>
  </r>
  <r>
    <n v="10557"/>
    <d v="2022-11-28T00:00:00"/>
    <x v="0"/>
    <n v="3.49"/>
    <x v="7"/>
    <s v="Online "/>
    <s v=" Credit Card"/>
    <s v="Tom Jackson"/>
    <s v="London"/>
    <x v="7"/>
    <s v="Tom Jackson"/>
  </r>
  <r>
    <n v="10558"/>
    <d v="2022-11-28T00:00:00"/>
    <x v="1"/>
    <n v="2.95"/>
    <x v="6"/>
    <s v="Online "/>
    <s v=" Credit Card"/>
    <s v="Tom Jackson"/>
    <s v="London"/>
    <x v="6"/>
    <s v="Tom Jackson"/>
  </r>
  <r>
    <n v="10559"/>
    <d v="2022-11-28T00:00:00"/>
    <x v="2"/>
    <n v="4.99"/>
    <x v="2"/>
    <s v="Online "/>
    <s v=" Credit Card"/>
    <s v="Tom Jackson"/>
    <s v="London"/>
    <x v="2"/>
    <s v="Tom Jackson"/>
  </r>
  <r>
    <n v="10560"/>
    <d v="2022-11-29T00:00:00"/>
    <x v="3"/>
    <n v="12.99"/>
    <x v="12"/>
    <s v="Online "/>
    <s v=" Credit Card"/>
    <s v="Tom Jackson"/>
    <s v="London"/>
    <x v="14"/>
    <s v="Tom Jackson"/>
  </r>
  <r>
    <n v="10561"/>
    <d v="2022-11-29T00:00:00"/>
    <x v="4"/>
    <n v="9.95"/>
    <x v="4"/>
    <s v="Online "/>
    <s v=" Credit Card"/>
    <s v="Tom Jackson"/>
    <s v="London"/>
    <x v="4"/>
    <s v="Tom Jackson"/>
  </r>
  <r>
    <n v="10562"/>
    <d v="2022-11-29T00:00:00"/>
    <x v="0"/>
    <n v="3.49"/>
    <x v="7"/>
    <s v="Online "/>
    <s v=" Credit Card"/>
    <s v="Tom Jackson"/>
    <s v="London"/>
    <x v="7"/>
    <s v="Tom Jackson"/>
  </r>
  <r>
    <n v="10563"/>
    <d v="2022-11-29T00:00:00"/>
    <x v="1"/>
    <n v="2.95"/>
    <x v="6"/>
    <s v="Online "/>
    <s v=" Credit Card"/>
    <s v="Tom Jackson"/>
    <s v="London"/>
    <x v="6"/>
    <s v="Tom Jackson"/>
  </r>
  <r>
    <n v="10564"/>
    <d v="2022-11-29T00:00:00"/>
    <x v="2"/>
    <n v="4.99"/>
    <x v="2"/>
    <s v="Online "/>
    <s v=" Credit Card"/>
    <s v="Tom Jackson"/>
    <s v="London"/>
    <x v="2"/>
    <s v="Tom Jackson"/>
  </r>
  <r>
    <n v="10565"/>
    <d v="2022-11-30T00:00:00"/>
    <x v="3"/>
    <n v="12.99"/>
    <x v="13"/>
    <s v="Online "/>
    <s v=" Credit Card"/>
    <s v="Tom Jackson"/>
    <s v="London"/>
    <x v="15"/>
    <s v="Tom Jackson"/>
  </r>
  <r>
    <n v="10566"/>
    <d v="2022-11-30T00:00:00"/>
    <x v="4"/>
    <n v="9.95"/>
    <x v="4"/>
    <s v="Online "/>
    <s v=" Credit Card"/>
    <s v="Tom Jackson"/>
    <s v="London"/>
    <x v="4"/>
    <s v="Tom Jackson"/>
  </r>
  <r>
    <n v="10567"/>
    <d v="2022-11-30T00:00:00"/>
    <x v="0"/>
    <n v="3.49"/>
    <x v="7"/>
    <s v="Online "/>
    <s v=" Credit Card"/>
    <s v="Tom Jackson"/>
    <s v="London"/>
    <x v="7"/>
    <s v="Tom Jackson"/>
  </r>
  <r>
    <n v="10568"/>
    <d v="2022-11-30T00:00:00"/>
    <x v="1"/>
    <n v="2.95"/>
    <x v="6"/>
    <s v="Online "/>
    <s v=" Credit Card"/>
    <s v="Tom Jackson"/>
    <s v="London"/>
    <x v="6"/>
    <s v="Tom Jackson"/>
  </r>
  <r>
    <n v="10569"/>
    <d v="2022-11-30T00:00:00"/>
    <x v="2"/>
    <n v="4.99"/>
    <x v="2"/>
    <s v="Online "/>
    <s v=" Credit Card"/>
    <s v="Tom Jackson"/>
    <s v="London"/>
    <x v="2"/>
    <s v="Tom Jackson"/>
  </r>
  <r>
    <n v="10570"/>
    <d v="2022-12-01T00:00:00"/>
    <x v="3"/>
    <n v="12.99"/>
    <x v="13"/>
    <s v="Online "/>
    <s v=" Credit Card"/>
    <s v="Tom Jackson"/>
    <s v="London"/>
    <x v="15"/>
    <s v="Tom Jackson"/>
  </r>
  <r>
    <n v="10571"/>
    <d v="2022-12-01T00:00:00"/>
    <x v="4"/>
    <n v="9.95"/>
    <x v="4"/>
    <s v="Online "/>
    <s v=" Credit Card"/>
    <s v="Tom Jackson"/>
    <s v="London"/>
    <x v="4"/>
    <s v="Tom Jackson"/>
  </r>
  <r>
    <n v="10572"/>
    <d v="2022-12-01T00:00:00"/>
    <x v="0"/>
    <n v="3.49"/>
    <x v="0"/>
    <s v="Online "/>
    <s v=" Credit Card"/>
    <s v="Remy Monet"/>
    <s v="Paris"/>
    <x v="0"/>
    <s v="Remy Monet"/>
  </r>
  <r>
    <n v="10573"/>
    <d v="2022-12-01T00:00:00"/>
    <x v="1"/>
    <n v="2.95"/>
    <x v="6"/>
    <s v="Online "/>
    <s v=" Credit Card"/>
    <s v="Remy Monet"/>
    <s v="Paris"/>
    <x v="6"/>
    <s v="Remy Monet"/>
  </r>
  <r>
    <n v="10574"/>
    <d v="2022-12-01T00:00:00"/>
    <x v="2"/>
    <n v="4.99"/>
    <x v="2"/>
    <s v="Online "/>
    <s v=" Credit Card"/>
    <s v="Remy Monet"/>
    <s v="Paris"/>
    <x v="2"/>
    <s v="Remy Monet"/>
  </r>
  <r>
    <n v="10575"/>
    <d v="2022-12-02T00:00:00"/>
    <x v="3"/>
    <n v="12.99"/>
    <x v="8"/>
    <s v="Online "/>
    <s v=" Credit Card"/>
    <s v="Remy Monet"/>
    <s v="Paris"/>
    <x v="8"/>
    <s v="Remy Monet"/>
  </r>
  <r>
    <n v="10576"/>
    <d v="2022-12-02T00:00:00"/>
    <x v="4"/>
    <n v="9.95"/>
    <x v="4"/>
    <s v="Online "/>
    <s v=" Credit Card"/>
    <s v="Remy Monet"/>
    <s v="Paris"/>
    <x v="4"/>
    <s v="Remy Monet"/>
  </r>
  <r>
    <n v="10577"/>
    <d v="2022-12-02T00:00:00"/>
    <x v="0"/>
    <n v="3.49"/>
    <x v="7"/>
    <s v="Online "/>
    <s v=" Credit Card"/>
    <s v="Remy Monet"/>
    <s v="Paris"/>
    <x v="7"/>
    <s v="Remy Monet"/>
  </r>
  <r>
    <n v="10578"/>
    <d v="2022-12-02T00:00:00"/>
    <x v="1"/>
    <n v="2.95"/>
    <x v="6"/>
    <s v="Online "/>
    <s v=" Credit Card"/>
    <s v="Remy Monet"/>
    <s v="Paris"/>
    <x v="6"/>
    <s v="Remy Monet"/>
  </r>
  <r>
    <n v="10579"/>
    <d v="2022-12-02T00:00:00"/>
    <x v="2"/>
    <n v="4.99"/>
    <x v="2"/>
    <s v="Online "/>
    <s v=" Credit Card"/>
    <s v="Remy Monet"/>
    <s v="Paris"/>
    <x v="2"/>
    <s v="Remy Monet"/>
  </r>
  <r>
    <n v="10580"/>
    <d v="2022-12-03T00:00:00"/>
    <x v="3"/>
    <n v="12.99"/>
    <x v="8"/>
    <s v="Online "/>
    <s v=" Credit Card"/>
    <s v="Remy Monet"/>
    <s v="Paris"/>
    <x v="8"/>
    <s v="Remy Monet"/>
  </r>
  <r>
    <n v="10581"/>
    <d v="2022-12-03T00:00:00"/>
    <x v="4"/>
    <n v="9.95"/>
    <x v="4"/>
    <s v="Online "/>
    <s v=" Credit Card"/>
    <s v="Remy Monet"/>
    <s v="Paris"/>
    <x v="4"/>
    <s v="Remy Monet"/>
  </r>
  <r>
    <n v="10582"/>
    <d v="2022-12-03T00:00:00"/>
    <x v="0"/>
    <n v="3.49"/>
    <x v="7"/>
    <s v="Online "/>
    <s v=" Credit Card"/>
    <s v="Tom Jackson"/>
    <s v="London"/>
    <x v="7"/>
    <s v="Tom Jackson"/>
  </r>
  <r>
    <n v="10583"/>
    <d v="2022-12-03T00:00:00"/>
    <x v="1"/>
    <n v="2.95"/>
    <x v="6"/>
    <s v="Online "/>
    <s v=" Credit Card"/>
    <s v="Tom Jackson"/>
    <s v="London"/>
    <x v="6"/>
    <s v="Tom Jackson"/>
  </r>
  <r>
    <n v="10584"/>
    <d v="2022-12-03T00:00:00"/>
    <x v="2"/>
    <n v="4.99"/>
    <x v="2"/>
    <s v="Online "/>
    <s v=" Credit Card"/>
    <s v="Tom Jackson"/>
    <s v="London"/>
    <x v="2"/>
    <s v="Tom Jackson"/>
  </r>
  <r>
    <n v="10585"/>
    <d v="2022-12-04T00:00:00"/>
    <x v="3"/>
    <n v="12.99"/>
    <x v="10"/>
    <s v="Online "/>
    <s v=" Credit Card"/>
    <s v="Tom Jackson"/>
    <s v="London"/>
    <x v="12"/>
    <s v="Tom Jackson"/>
  </r>
  <r>
    <n v="10586"/>
    <d v="2022-12-04T00:00:00"/>
    <x v="4"/>
    <n v="9.95"/>
    <x v="4"/>
    <s v="Online "/>
    <s v=" Credit Card"/>
    <s v="Tom Jackson"/>
    <s v="London"/>
    <x v="4"/>
    <s v="Tom Jackson"/>
  </r>
  <r>
    <n v="10537"/>
    <d v="2022-11-24T00:00:00"/>
    <x v="0"/>
    <n v="3.49"/>
    <x v="7"/>
    <s v="Drive-thru "/>
    <s v=" Credit Card"/>
    <s v="Pablo Perez"/>
    <s v="Madrid"/>
    <x v="7"/>
    <s v="Pablo Perez"/>
  </r>
  <r>
    <n v="10538"/>
    <d v="2022-11-24T00:00:00"/>
    <x v="1"/>
    <n v="2.95"/>
    <x v="1"/>
    <s v="Drive-thru "/>
    <s v=" Credit Card"/>
    <s v="Pablo Perez"/>
    <s v="Madrid"/>
    <x v="1"/>
    <s v="Pablo Perez"/>
  </r>
  <r>
    <n v="10539"/>
    <d v="2022-11-24T00:00:00"/>
    <x v="2"/>
    <n v="4.99"/>
    <x v="2"/>
    <s v="Drive-thru "/>
    <s v=" Credit Card"/>
    <s v="Pablo Perez"/>
    <s v="Madrid"/>
    <x v="2"/>
    <s v="Pablo Perez"/>
  </r>
  <r>
    <n v="10590"/>
    <d v="2022-12-05T00:00:00"/>
    <x v="3"/>
    <n v="12.99"/>
    <x v="5"/>
    <s v="Online "/>
    <s v=" Credit Card"/>
    <s v="Tom Jackson"/>
    <s v="London"/>
    <x v="5"/>
    <s v="Tom Jackson"/>
  </r>
  <r>
    <n v="10591"/>
    <d v="2022-12-05T00:00:00"/>
    <x v="4"/>
    <n v="9.95"/>
    <x v="4"/>
    <s v="Online "/>
    <s v=" Credit Card"/>
    <s v="Tom Jackson"/>
    <s v="London"/>
    <x v="4"/>
    <s v="Tom Jackson"/>
  </r>
  <r>
    <n v="10592"/>
    <d v="2022-12-05T00:00:00"/>
    <x v="0"/>
    <n v="3.49"/>
    <x v="0"/>
    <s v="Online "/>
    <s v=" Credit Card"/>
    <s v="Tom Jackson"/>
    <s v="London"/>
    <x v="0"/>
    <s v="Tom Jackson"/>
  </r>
  <r>
    <n v="10593"/>
    <d v="2022-12-05T00:00:00"/>
    <x v="1"/>
    <n v="2.95"/>
    <x v="6"/>
    <s v="Online "/>
    <s v=" Credit Card"/>
    <s v="Tom Jackson"/>
    <s v="London"/>
    <x v="6"/>
    <s v="Tom Jackson"/>
  </r>
  <r>
    <n v="10594"/>
    <d v="2022-12-05T00:00:00"/>
    <x v="2"/>
    <n v="4.99"/>
    <x v="2"/>
    <s v="Online "/>
    <s v=" Credit Card"/>
    <s v="Tom Jackson"/>
    <s v="London"/>
    <x v="2"/>
    <s v="Tom Jackson"/>
  </r>
  <r>
    <n v="10595"/>
    <d v="2022-12-06T00:00:00"/>
    <x v="3"/>
    <n v="12.99"/>
    <x v="10"/>
    <s v="Online "/>
    <s v=" Credit Card"/>
    <s v="Tom Jackson"/>
    <s v="London"/>
    <x v="12"/>
    <s v="Tom Jackson"/>
  </r>
  <r>
    <n v="10596"/>
    <d v="2022-12-06T00:00:00"/>
    <x v="4"/>
    <n v="9.95"/>
    <x v="4"/>
    <s v="Online "/>
    <s v=" Credit Card"/>
    <s v="Tom Jackson"/>
    <s v="London"/>
    <x v="4"/>
    <s v="Tom Jackson"/>
  </r>
  <r>
    <n v="10597"/>
    <d v="2022-12-06T00:00:00"/>
    <x v="0"/>
    <n v="3.49"/>
    <x v="0"/>
    <s v="Online "/>
    <s v=" Credit Card"/>
    <s v="Tom Jackson"/>
    <s v="London"/>
    <x v="0"/>
    <s v="Tom Jackson"/>
  </r>
  <r>
    <n v="10598"/>
    <d v="2022-12-06T00:00:00"/>
    <x v="1"/>
    <n v="2.95"/>
    <x v="6"/>
    <s v="Online "/>
    <s v=" Credit Card"/>
    <s v="Tom Jackson"/>
    <s v="London"/>
    <x v="6"/>
    <s v="Tom Jackson"/>
  </r>
  <r>
    <n v="10599"/>
    <d v="2022-12-06T00:00:00"/>
    <x v="2"/>
    <n v="4.99"/>
    <x v="2"/>
    <s v="Online "/>
    <s v=" Credit Card"/>
    <s v="Tom Jackson"/>
    <s v="London"/>
    <x v="2"/>
    <s v="Tom Jackson"/>
  </r>
  <r>
    <n v="10600"/>
    <d v="2022-12-07T00:00:00"/>
    <x v="3"/>
    <n v="12.99"/>
    <x v="8"/>
    <s v="Online "/>
    <s v=" Credit Card"/>
    <s v="Tom Jackson"/>
    <s v="London"/>
    <x v="8"/>
    <s v="Tom Jackson"/>
  </r>
  <r>
    <n v="10601"/>
    <d v="2022-12-07T00:00:00"/>
    <x v="4"/>
    <n v="9.95"/>
    <x v="4"/>
    <s v="Online "/>
    <s v=" Credit Card"/>
    <s v="Tom Jackson"/>
    <s v="London"/>
    <x v="4"/>
    <s v="Tom Jackson"/>
  </r>
  <r>
    <n v="10602"/>
    <d v="2022-12-07T00:00:00"/>
    <x v="0"/>
    <n v="3.49"/>
    <x v="7"/>
    <s v="Online "/>
    <s v=" Cash"/>
    <s v="Tom Jackson"/>
    <s v="London"/>
    <x v="7"/>
    <s v="Tom Jackson"/>
  </r>
  <r>
    <n v="10603"/>
    <d v="2022-12-07T00:00:00"/>
    <x v="1"/>
    <n v="2.95"/>
    <x v="6"/>
    <s v="Online "/>
    <s v=" Cash"/>
    <s v="Tom Jackson"/>
    <s v="London"/>
    <x v="6"/>
    <s v="Tom Jackson"/>
  </r>
  <r>
    <n v="10604"/>
    <d v="2022-12-07T00:00:00"/>
    <x v="2"/>
    <n v="4.99"/>
    <x v="2"/>
    <s v="Online "/>
    <s v=" Cash"/>
    <s v="Tom Jackson"/>
    <s v="London"/>
    <x v="2"/>
    <s v="Tom Jackson"/>
  </r>
  <r>
    <n v="10605"/>
    <d v="2022-12-08T00:00:00"/>
    <x v="3"/>
    <n v="12.99"/>
    <x v="10"/>
    <s v="Online "/>
    <s v=" Cash"/>
    <s v="Tom Jackson"/>
    <s v="London"/>
    <x v="12"/>
    <s v="Tom Jackson"/>
  </r>
  <r>
    <n v="10606"/>
    <d v="2022-12-08T00:00:00"/>
    <x v="4"/>
    <n v="9.95"/>
    <x v="4"/>
    <s v="Online "/>
    <s v=" Cash"/>
    <s v="Tom Jackson"/>
    <s v="London"/>
    <x v="4"/>
    <s v="Tom Jackson"/>
  </r>
  <r>
    <n v="10607"/>
    <d v="2022-12-08T00:00:00"/>
    <x v="0"/>
    <n v="3.49"/>
    <x v="7"/>
    <s v="Online "/>
    <s v=" Cash"/>
    <s v="Tom Jackson"/>
    <s v="London"/>
    <x v="7"/>
    <s v="Tom Jackson"/>
  </r>
  <r>
    <n v="10608"/>
    <d v="2022-12-08T00:00:00"/>
    <x v="1"/>
    <n v="2.95"/>
    <x v="6"/>
    <s v="Online "/>
    <s v=" Gift Card"/>
    <s v="Tom Jackson"/>
    <s v="London"/>
    <x v="6"/>
    <s v="Tom Jackson"/>
  </r>
  <r>
    <n v="10609"/>
    <d v="2022-12-08T00:00:00"/>
    <x v="2"/>
    <n v="4.99"/>
    <x v="2"/>
    <s v="Online "/>
    <s v=" Gift Card"/>
    <s v="Tom Jackson"/>
    <s v="London"/>
    <x v="2"/>
    <s v="Tom Jackson"/>
  </r>
  <r>
    <n v="10610"/>
    <d v="2022-12-09T00:00:00"/>
    <x v="3"/>
    <n v="12.99"/>
    <x v="3"/>
    <s v="Online "/>
    <s v=" Gift Card"/>
    <s v="Tom Jackson"/>
    <s v="London"/>
    <x v="3"/>
    <s v="Tom Jackson"/>
  </r>
  <r>
    <n v="10611"/>
    <d v="2022-12-09T00:00:00"/>
    <x v="4"/>
    <n v="9.95"/>
    <x v="4"/>
    <s v="Online "/>
    <s v=" Gift Card"/>
    <s v="Tom Jackson"/>
    <s v="London"/>
    <x v="4"/>
    <s v="Tom Jackson"/>
  </r>
  <r>
    <n v="10612"/>
    <d v="2022-12-09T00:00:00"/>
    <x v="0"/>
    <n v="3.49"/>
    <x v="7"/>
    <s v="Online "/>
    <s v=" Gift Card"/>
    <s v="Tom Jackson"/>
    <s v="London"/>
    <x v="7"/>
    <s v="Tom Jackson"/>
  </r>
  <r>
    <n v="10613"/>
    <d v="2022-12-09T00:00:00"/>
    <x v="1"/>
    <n v="2.95"/>
    <x v="6"/>
    <s v="Online "/>
    <s v=" Gift Card"/>
    <s v="Tom Jackson"/>
    <s v="London"/>
    <x v="6"/>
    <s v="Tom Jackson"/>
  </r>
  <r>
    <n v="10614"/>
    <d v="2022-12-09T00:00:00"/>
    <x v="2"/>
    <n v="4.99"/>
    <x v="2"/>
    <s v="Online "/>
    <s v=" Gift Card"/>
    <s v="Tom Jackson"/>
    <s v="London"/>
    <x v="2"/>
    <s v="Tom Jackson"/>
  </r>
  <r>
    <n v="10615"/>
    <d v="2022-12-10T00:00:00"/>
    <x v="3"/>
    <n v="12.99"/>
    <x v="3"/>
    <s v="Online "/>
    <s v=" Gift Card"/>
    <s v="Tom Jackson"/>
    <s v="London"/>
    <x v="3"/>
    <s v="Tom Jackson"/>
  </r>
  <r>
    <n v="10616"/>
    <d v="2022-12-10T00:00:00"/>
    <x v="4"/>
    <n v="9.95"/>
    <x v="4"/>
    <s v="Online "/>
    <s v=" Gift Card"/>
    <s v="Tom Jackson"/>
    <s v="London"/>
    <x v="4"/>
    <s v="Tom Jackson"/>
  </r>
  <r>
    <n v="10617"/>
    <d v="2022-12-10T00:00:00"/>
    <x v="0"/>
    <n v="3.49"/>
    <x v="7"/>
    <s v="Online "/>
    <s v=" Gift Card"/>
    <s v="Tom Jackson"/>
    <s v="London"/>
    <x v="7"/>
    <s v="Tom Jackson"/>
  </r>
  <r>
    <n v="10618"/>
    <d v="2022-12-10T00:00:00"/>
    <x v="1"/>
    <n v="2.95"/>
    <x v="6"/>
    <s v="Online "/>
    <s v=" Gift Card"/>
    <s v="Tom Jackson"/>
    <s v="London"/>
    <x v="6"/>
    <s v="Tom Jackson"/>
  </r>
  <r>
    <n v="10619"/>
    <d v="2022-12-10T00:00:00"/>
    <x v="2"/>
    <n v="4.99"/>
    <x v="2"/>
    <s v="Online "/>
    <s v=" Gift Card"/>
    <s v="Tom Jackson"/>
    <s v="London"/>
    <x v="2"/>
    <s v="Tom Jackson"/>
  </r>
  <r>
    <n v="10620"/>
    <d v="2022-12-11T00:00:00"/>
    <x v="3"/>
    <n v="12.99"/>
    <x v="16"/>
    <s v="Online "/>
    <s v=" Gift Card"/>
    <s v="Tom Jackson"/>
    <s v="London"/>
    <x v="18"/>
    <s v="Tom Jackson"/>
  </r>
  <r>
    <n v="10621"/>
    <d v="2022-12-11T00:00:00"/>
    <x v="4"/>
    <n v="9.95"/>
    <x v="4"/>
    <s v="Online "/>
    <s v=" Gift Card"/>
    <s v="Tom Jackson"/>
    <s v="London"/>
    <x v="4"/>
    <s v="Tom Jackson"/>
  </r>
  <r>
    <n v="10622"/>
    <d v="2022-12-11T00:00:00"/>
    <x v="0"/>
    <n v="3.49"/>
    <x v="7"/>
    <s v="Online "/>
    <s v=" Gift Card"/>
    <s v="Tom Jackson"/>
    <s v="London"/>
    <x v="7"/>
    <s v="Tom Jackson"/>
  </r>
  <r>
    <n v="10623"/>
    <d v="2022-12-11T00:00:00"/>
    <x v="1"/>
    <n v="2.95"/>
    <x v="1"/>
    <s v="Online "/>
    <s v=" Gift Card"/>
    <s v="Tom Jackson"/>
    <s v="London"/>
    <x v="1"/>
    <s v="Tom Jackson"/>
  </r>
  <r>
    <n v="10624"/>
    <d v="2022-12-11T00:00:00"/>
    <x v="2"/>
    <n v="4.99"/>
    <x v="2"/>
    <s v="Online "/>
    <s v=" Gift Card"/>
    <s v="Tom Jackson"/>
    <s v="London"/>
    <x v="2"/>
    <s v="Tom Jackson"/>
  </r>
  <r>
    <n v="10625"/>
    <d v="2022-12-12T00:00:00"/>
    <x v="3"/>
    <n v="12.99"/>
    <x v="3"/>
    <s v="Online "/>
    <s v=" Gift Card"/>
    <s v="Tom Jackson"/>
    <s v="London"/>
    <x v="3"/>
    <s v="Tom Jackson"/>
  </r>
  <r>
    <n v="10626"/>
    <d v="2022-12-12T00:00:00"/>
    <x v="4"/>
    <n v="9.95"/>
    <x v="4"/>
    <s v="Online "/>
    <s v=" Gift Card"/>
    <s v="Tom Jackson"/>
    <s v="London"/>
    <x v="4"/>
    <s v="Tom Jackson"/>
  </r>
  <r>
    <n v="10627"/>
    <d v="2022-12-12T00:00:00"/>
    <x v="0"/>
    <n v="3.49"/>
    <x v="7"/>
    <s v="Online "/>
    <s v=" Gift Card"/>
    <s v="Tom Jackson"/>
    <s v="London"/>
    <x v="7"/>
    <s v="Tom Jackson"/>
  </r>
  <r>
    <n v="10628"/>
    <d v="2022-12-12T00:00:00"/>
    <x v="1"/>
    <n v="2.95"/>
    <x v="6"/>
    <s v="Online "/>
    <s v=" Gift Card"/>
    <s v="Joao Silva"/>
    <s v="Lisbon"/>
    <x v="6"/>
    <s v="Joao Silva"/>
  </r>
  <r>
    <n v="10629"/>
    <d v="2022-12-12T00:00:00"/>
    <x v="2"/>
    <n v="4.99"/>
    <x v="2"/>
    <s v="Online "/>
    <s v=" Gift Card"/>
    <s v="Joao Silva"/>
    <s v="Lisbon"/>
    <x v="2"/>
    <s v="Joao Silva"/>
  </r>
  <r>
    <n v="10630"/>
    <d v="2022-12-13T00:00:00"/>
    <x v="3"/>
    <n v="12.99"/>
    <x v="3"/>
    <s v="Online "/>
    <s v=" Cash"/>
    <s v="Joao Silva"/>
    <s v="Lisbon"/>
    <x v="3"/>
    <s v="Joao Silva"/>
  </r>
  <r>
    <n v="10631"/>
    <d v="2022-12-13T00:00:00"/>
    <x v="4"/>
    <n v="9.95"/>
    <x v="4"/>
    <s v="Online "/>
    <s v=" Gift Card"/>
    <s v="Joao Silva"/>
    <s v="Lisbon"/>
    <x v="4"/>
    <s v="Joao Silva"/>
  </r>
  <r>
    <n v="10632"/>
    <d v="2022-12-13T00:00:00"/>
    <x v="0"/>
    <n v="3.49"/>
    <x v="7"/>
    <s v="Online "/>
    <s v=" Gift Card"/>
    <s v="Joao Silva"/>
    <s v="Lisbon"/>
    <x v="7"/>
    <s v="Joao Silva"/>
  </r>
  <r>
    <n v="10633"/>
    <d v="2022-12-13T00:00:00"/>
    <x v="1"/>
    <n v="2.95"/>
    <x v="6"/>
    <s v="Online "/>
    <s v=" Gift Card"/>
    <s v="Joao Silva"/>
    <s v="Lisbon"/>
    <x v="6"/>
    <s v="Joao Silva"/>
  </r>
  <r>
    <n v="10634"/>
    <d v="2022-12-13T00:00:00"/>
    <x v="2"/>
    <n v="4.99"/>
    <x v="2"/>
    <s v="Online "/>
    <s v=" Gift Card"/>
    <s v="Joao Silva"/>
    <s v="Lisbon"/>
    <x v="2"/>
    <s v="Joao Silva"/>
  </r>
  <r>
    <n v="10635"/>
    <d v="2022-12-14T00:00:00"/>
    <x v="3"/>
    <n v="12.99"/>
    <x v="5"/>
    <s v="Online "/>
    <s v=" Gift Card"/>
    <s v="Joao Silva"/>
    <s v="Lisbon"/>
    <x v="5"/>
    <s v="Joao Silva"/>
  </r>
  <r>
    <n v="10636"/>
    <d v="2022-12-14T00:00:00"/>
    <x v="4"/>
    <n v="9.95"/>
    <x v="17"/>
    <s v="Online "/>
    <s v=" Gift Card"/>
    <s v="Joao Silva"/>
    <s v="Lisbon"/>
    <x v="19"/>
    <s v="Joao Silva"/>
  </r>
  <r>
    <n v="10637"/>
    <d v="2022-12-14T00:00:00"/>
    <x v="0"/>
    <n v="3.49"/>
    <x v="7"/>
    <s v="Online "/>
    <s v=" Gift Card"/>
    <s v="Joao Silva"/>
    <s v="Lisbon"/>
    <x v="7"/>
    <s v="Joao Silva"/>
  </r>
  <r>
    <n v="10638"/>
    <d v="2022-12-14T00:00:00"/>
    <x v="1"/>
    <n v="2.95"/>
    <x v="6"/>
    <s v="Online "/>
    <s v=" Gift Card"/>
    <s v="Joao Silva"/>
    <s v="Lisbon"/>
    <x v="6"/>
    <s v="Joao Silva"/>
  </r>
  <r>
    <n v="10639"/>
    <d v="2022-12-14T00:00:00"/>
    <x v="2"/>
    <n v="4.99"/>
    <x v="2"/>
    <s v="Online "/>
    <s v=" Gift Card"/>
    <s v="Joao Silva"/>
    <s v="Lisbon"/>
    <x v="2"/>
    <s v="Joao Silva"/>
  </r>
  <r>
    <n v="10640"/>
    <d v="2022-12-15T00:00:00"/>
    <x v="3"/>
    <n v="12.99"/>
    <x v="10"/>
    <s v="Online "/>
    <s v=" Gift Card"/>
    <s v="Joao Silva"/>
    <s v="Lisbon"/>
    <x v="12"/>
    <s v="Joao Silva"/>
  </r>
  <r>
    <n v="10641"/>
    <d v="2022-12-15T00:00:00"/>
    <x v="4"/>
    <n v="9.95"/>
    <x v="17"/>
    <s v="Online "/>
    <s v=" Gift Card"/>
    <s v="Joao Silva"/>
    <s v="Lisbon"/>
    <x v="19"/>
    <s v="Joao Silva"/>
  </r>
  <r>
    <n v="10642"/>
    <d v="2022-12-15T00:00:00"/>
    <x v="0"/>
    <n v="3.49"/>
    <x v="7"/>
    <s v="Online "/>
    <s v=" Cash"/>
    <s v="Joao Silva"/>
    <s v="Lisbon"/>
    <x v="7"/>
    <s v="Joao Silva"/>
  </r>
  <r>
    <n v="10643"/>
    <d v="2022-12-15T00:00:00"/>
    <x v="1"/>
    <n v="2.95"/>
    <x v="6"/>
    <s v="Online "/>
    <s v=" Cash"/>
    <s v="Joao Silva"/>
    <s v="Lisbon"/>
    <x v="6"/>
    <s v="Joao Silva"/>
  </r>
  <r>
    <n v="10644"/>
    <d v="2022-12-15T00:00:00"/>
    <x v="2"/>
    <n v="4.99"/>
    <x v="2"/>
    <s v="Online "/>
    <s v=" Cash"/>
    <s v="Joao Silva"/>
    <s v="Lisbon"/>
    <x v="2"/>
    <s v="Joao Silva"/>
  </r>
  <r>
    <n v="10645"/>
    <d v="2022-12-16T00:00:00"/>
    <x v="3"/>
    <n v="12.99"/>
    <x v="3"/>
    <s v="Online "/>
    <s v=" Cash"/>
    <s v="Joao Silva"/>
    <s v="Lisbon"/>
    <x v="3"/>
    <s v="Joao Silva"/>
  </r>
  <r>
    <n v="10646"/>
    <d v="2022-12-16T00:00:00"/>
    <x v="4"/>
    <n v="9.95"/>
    <x v="17"/>
    <s v="Online "/>
    <s v=" Cash"/>
    <s v="Joao Silva"/>
    <s v="Lisbon"/>
    <x v="19"/>
    <s v="Joao Silva"/>
  </r>
  <r>
    <n v="10647"/>
    <d v="2022-12-16T00:00:00"/>
    <x v="0"/>
    <n v="3.49"/>
    <x v="7"/>
    <s v="Online "/>
    <s v=" Gift Card"/>
    <s v="Joao Silva"/>
    <s v="Lisbon"/>
    <x v="7"/>
    <s v="Joao Silva"/>
  </r>
  <r>
    <n v="10648"/>
    <d v="2022-12-16T00:00:00"/>
    <x v="1"/>
    <n v="2.95"/>
    <x v="1"/>
    <s v="Online "/>
    <s v=" Gift Card"/>
    <s v="Joao Silva"/>
    <s v="Lisbon"/>
    <x v="1"/>
    <s v="Joao Silva"/>
  </r>
  <r>
    <n v="10649"/>
    <d v="2022-12-16T00:00:00"/>
    <x v="2"/>
    <n v="4.99"/>
    <x v="2"/>
    <s v="Online "/>
    <s v=" Gift Card"/>
    <s v="Joao Silva"/>
    <s v="Lisbon"/>
    <x v="2"/>
    <s v="Joao Silva"/>
  </r>
  <r>
    <n v="10650"/>
    <d v="2022-12-17T00:00:00"/>
    <x v="3"/>
    <n v="12.99"/>
    <x v="16"/>
    <s v="Online "/>
    <s v=" Gift Card"/>
    <s v="Joao Silva"/>
    <s v="Lisbon"/>
    <x v="18"/>
    <s v="Joao Silva"/>
  </r>
  <r>
    <n v="10651"/>
    <d v="2022-12-17T00:00:00"/>
    <x v="4"/>
    <n v="9.95"/>
    <x v="17"/>
    <s v="Online "/>
    <s v=" Gift Card"/>
    <s v="Joao Silva"/>
    <s v="Lisbon"/>
    <x v="19"/>
    <s v="Joao Silva"/>
  </r>
  <r>
    <n v="10652"/>
    <d v="2022-12-17T00:00:00"/>
    <x v="0"/>
    <n v="3.49"/>
    <x v="11"/>
    <s v="Online "/>
    <s v=" Gift Card"/>
    <s v="Joao Silva"/>
    <s v="Lisbon"/>
    <x v="13"/>
    <s v="Joao Silva"/>
  </r>
  <r>
    <n v="10653"/>
    <d v="2022-12-17T00:00:00"/>
    <x v="1"/>
    <n v="2.95"/>
    <x v="1"/>
    <s v="Online "/>
    <s v=" Gift Card"/>
    <s v="Joao Silva"/>
    <s v="Lisbon"/>
    <x v="1"/>
    <s v="Joao Silva"/>
  </r>
  <r>
    <n v="10654"/>
    <d v="2022-12-17T00:00:00"/>
    <x v="2"/>
    <n v="4.99"/>
    <x v="2"/>
    <s v="Online "/>
    <s v=" Gift Card"/>
    <s v="Joao Silva"/>
    <s v="Lisbon"/>
    <x v="2"/>
    <s v="Joao Silva"/>
  </r>
  <r>
    <n v="10655"/>
    <d v="2022-12-18T00:00:00"/>
    <x v="3"/>
    <n v="12.99"/>
    <x v="18"/>
    <s v="Online "/>
    <s v=" Gift Card"/>
    <s v="Joao Silva"/>
    <s v="Lisbon"/>
    <x v="20"/>
    <s v="Joao Silva"/>
  </r>
  <r>
    <n v="10656"/>
    <d v="2022-12-18T00:00:00"/>
    <x v="4"/>
    <n v="9.95"/>
    <x v="17"/>
    <s v="Online "/>
    <s v=" Gift Card"/>
    <s v="Joao Silva"/>
    <s v="Lisbon"/>
    <x v="19"/>
    <s v="Joao Silva"/>
  </r>
  <r>
    <n v="10657"/>
    <d v="2022-12-18T00:00:00"/>
    <x v="0"/>
    <n v="3.49"/>
    <x v="11"/>
    <s v="Online "/>
    <s v=" Gift Card"/>
    <s v="Joao Silva"/>
    <s v="Lisbon"/>
    <x v="13"/>
    <s v="Joao Silva"/>
  </r>
  <r>
    <n v="10658"/>
    <d v="2022-12-18T00:00:00"/>
    <x v="1"/>
    <n v="2.95"/>
    <x v="1"/>
    <s v="Online "/>
    <s v=" Cash"/>
    <s v="Joao Silva"/>
    <s v="Lisbon"/>
    <x v="1"/>
    <s v="Joao Silva"/>
  </r>
  <r>
    <n v="10659"/>
    <d v="2022-12-18T00:00:00"/>
    <x v="2"/>
    <n v="4.99"/>
    <x v="2"/>
    <s v="Online "/>
    <s v=" Cash"/>
    <s v="Joao Silva"/>
    <s v="Lisbon"/>
    <x v="2"/>
    <s v="Joao Silva"/>
  </r>
  <r>
    <n v="10660"/>
    <d v="2022-12-19T00:00:00"/>
    <x v="3"/>
    <n v="12.99"/>
    <x v="19"/>
    <s v="In-store "/>
    <s v=" Cash"/>
    <s v="Joao Silva"/>
    <s v="Lisbon"/>
    <x v="21"/>
    <s v="Joao Silva"/>
  </r>
  <r>
    <n v="10661"/>
    <d v="2022-12-19T00:00:00"/>
    <x v="4"/>
    <n v="9.95"/>
    <x v="17"/>
    <s v="In-store "/>
    <s v=" Cash"/>
    <s v="Joao Silva"/>
    <s v="Lisbon"/>
    <x v="19"/>
    <s v="Joao Silva"/>
  </r>
  <r>
    <n v="10662"/>
    <d v="2022-12-19T00:00:00"/>
    <x v="0"/>
    <n v="3.49"/>
    <x v="7"/>
    <s v="In-store "/>
    <s v=" Cash"/>
    <s v="Joao Silva"/>
    <s v="Lisbon"/>
    <x v="7"/>
    <s v="Joao Silva"/>
  </r>
  <r>
    <n v="10663"/>
    <d v="2022-12-19T00:00:00"/>
    <x v="1"/>
    <n v="2.95"/>
    <x v="1"/>
    <s v="In-store "/>
    <s v=" Cash"/>
    <s v="Joao Silva"/>
    <s v="Lisbon"/>
    <x v="1"/>
    <s v="Joao Silva"/>
  </r>
  <r>
    <n v="10664"/>
    <d v="2022-12-19T00:00:00"/>
    <x v="2"/>
    <n v="4.99"/>
    <x v="2"/>
    <s v="In-store "/>
    <s v=" Cash"/>
    <s v="Joao Silva"/>
    <s v="Lisbon"/>
    <x v="2"/>
    <s v="Joao Silva"/>
  </r>
  <r>
    <n v="10665"/>
    <d v="2022-12-20T00:00:00"/>
    <x v="3"/>
    <n v="12.99"/>
    <x v="20"/>
    <s v="In-store "/>
    <s v=" Cash"/>
    <s v="Joao Silva"/>
    <s v="Lisbon"/>
    <x v="22"/>
    <s v="Joao Silva"/>
  </r>
  <r>
    <n v="10666"/>
    <d v="2022-12-20T00:00:00"/>
    <x v="4"/>
    <n v="9.95"/>
    <x v="17"/>
    <s v="In-store "/>
    <s v=" Cash"/>
    <s v="Joao Silva"/>
    <s v="Lisbon"/>
    <x v="19"/>
    <s v="Joao Silva"/>
  </r>
  <r>
    <n v="10667"/>
    <d v="2022-12-20T00:00:00"/>
    <x v="0"/>
    <n v="3.49"/>
    <x v="7"/>
    <s v="In-store "/>
    <s v=" Cash"/>
    <s v="Joao Silva"/>
    <s v="Lisbon"/>
    <x v="7"/>
    <s v="Joao Silva"/>
  </r>
  <r>
    <n v="10668"/>
    <d v="2022-12-20T00:00:00"/>
    <x v="1"/>
    <n v="2.95"/>
    <x v="1"/>
    <s v="In-store "/>
    <s v=" Cash"/>
    <s v="Joao Silva"/>
    <s v="Lisbon"/>
    <x v="1"/>
    <s v="Joao Silva"/>
  </r>
  <r>
    <n v="10669"/>
    <d v="2022-12-20T00:00:00"/>
    <x v="2"/>
    <n v="4.99"/>
    <x v="2"/>
    <s v="In-store "/>
    <s v=" Cash"/>
    <s v="Joao Silva"/>
    <s v="Lisbon"/>
    <x v="2"/>
    <s v="Joao Silva"/>
  </r>
  <r>
    <n v="10670"/>
    <d v="2022-12-21T00:00:00"/>
    <x v="3"/>
    <n v="12.99"/>
    <x v="21"/>
    <s v="In-store "/>
    <s v=" Cash"/>
    <s v="Joao Silva"/>
    <s v="Lisbon"/>
    <x v="23"/>
    <s v="Joao Silva"/>
  </r>
  <r>
    <n v="10671"/>
    <d v="2022-12-21T00:00:00"/>
    <x v="4"/>
    <n v="9.95"/>
    <x v="17"/>
    <s v="In-store "/>
    <s v=" Cash"/>
    <s v="Joao Silva"/>
    <s v="Lisbon"/>
    <x v="19"/>
    <s v="Joao Silva"/>
  </r>
  <r>
    <n v="10672"/>
    <d v="2022-12-21T00:00:00"/>
    <x v="0"/>
    <n v="3.49"/>
    <x v="7"/>
    <s v="In-store "/>
    <s v=" Cash"/>
    <s v="Joao Silva"/>
    <s v="Lisbon"/>
    <x v="7"/>
    <s v="Joao Silva"/>
  </r>
  <r>
    <n v="10673"/>
    <d v="2022-12-21T00:00:00"/>
    <x v="1"/>
    <n v="2.95"/>
    <x v="1"/>
    <s v="In-store "/>
    <s v=" Cash"/>
    <s v="Joao Silva"/>
    <s v="Lisbon"/>
    <x v="1"/>
    <s v="Joao Silva"/>
  </r>
  <r>
    <n v="10674"/>
    <d v="2022-12-21T00:00:00"/>
    <x v="2"/>
    <n v="4.99"/>
    <x v="2"/>
    <s v="In-store "/>
    <s v=" Cash"/>
    <s v="Joao Silva"/>
    <s v="Lisbon"/>
    <x v="2"/>
    <s v="Joao Silva"/>
  </r>
  <r>
    <n v="10675"/>
    <d v="2022-12-22T00:00:00"/>
    <x v="3"/>
    <n v="12.99"/>
    <x v="21"/>
    <s v="In-store "/>
    <s v=" Cash"/>
    <s v="Joao Silva"/>
    <s v="Lisbon"/>
    <x v="23"/>
    <s v="Joao Silva"/>
  </r>
  <r>
    <n v="10676"/>
    <d v="2022-12-22T00:00:00"/>
    <x v="4"/>
    <n v="9.95"/>
    <x v="22"/>
    <s v="In-store "/>
    <s v=" Cash"/>
    <s v="Joao Silva"/>
    <s v="Lisbon"/>
    <x v="24"/>
    <s v="Joao Silva"/>
  </r>
  <r>
    <n v="10677"/>
    <d v="2022-12-22T00:00:00"/>
    <x v="0"/>
    <n v="3.49"/>
    <x v="7"/>
    <s v="In-store "/>
    <s v=" Cash"/>
    <s v="Joao Silva"/>
    <s v="Lisbon"/>
    <x v="7"/>
    <s v="Joao Silva"/>
  </r>
  <r>
    <n v="10678"/>
    <d v="2022-12-22T00:00:00"/>
    <x v="1"/>
    <n v="2.95"/>
    <x v="1"/>
    <s v="In-store "/>
    <s v=" Cash"/>
    <s v="Joao Silva"/>
    <s v="Lisbon"/>
    <x v="1"/>
    <s v="Joao Silva"/>
  </r>
  <r>
    <n v="10679"/>
    <d v="2022-12-22T00:00:00"/>
    <x v="2"/>
    <n v="4.99"/>
    <x v="2"/>
    <s v="In-store "/>
    <s v=" Cash"/>
    <s v="Joao Silva"/>
    <s v="Lisbon"/>
    <x v="2"/>
    <s v="Joao Silva"/>
  </r>
  <r>
    <n v="10680"/>
    <d v="2022-12-23T00:00:00"/>
    <x v="3"/>
    <n v="12.99"/>
    <x v="20"/>
    <s v="In-store "/>
    <s v=" Cash"/>
    <s v="Joao Silva"/>
    <s v="Lisbon"/>
    <x v="22"/>
    <s v="Joao Silva"/>
  </r>
  <r>
    <n v="10681"/>
    <d v="2022-12-23T00:00:00"/>
    <x v="4"/>
    <n v="9.95"/>
    <x v="22"/>
    <s v="In-store "/>
    <s v=" Cash"/>
    <s v="Joao Silva"/>
    <s v="Lisbon"/>
    <x v="24"/>
    <s v="Joao Silva"/>
  </r>
  <r>
    <n v="10682"/>
    <d v="2022-12-23T00:00:00"/>
    <x v="0"/>
    <n v="3.49"/>
    <x v="7"/>
    <s v="In-store "/>
    <s v=" Cash"/>
    <s v="Joao Silva"/>
    <s v="Lisbon"/>
    <x v="7"/>
    <s v="Joao Silva"/>
  </r>
  <r>
    <n v="10683"/>
    <d v="2022-12-23T00:00:00"/>
    <x v="1"/>
    <n v="2.95"/>
    <x v="6"/>
    <s v="In-store "/>
    <s v=" Cash"/>
    <s v="Joao Silva"/>
    <s v="Lisbon"/>
    <x v="6"/>
    <s v="Joao Silva"/>
  </r>
  <r>
    <n v="10684"/>
    <d v="2022-12-23T00:00:00"/>
    <x v="2"/>
    <n v="4.99"/>
    <x v="2"/>
    <s v="In-store "/>
    <s v=" Cash"/>
    <s v="Joao Silva"/>
    <s v="Lisbon"/>
    <x v="2"/>
    <s v="Joao Silva"/>
  </r>
  <r>
    <n v="10685"/>
    <d v="2022-12-24T00:00:00"/>
    <x v="3"/>
    <n v="12.99"/>
    <x v="21"/>
    <s v="In-store "/>
    <s v=" Cash"/>
    <s v="Joao Silva"/>
    <s v="Lisbon"/>
    <x v="23"/>
    <s v="Joao Silva"/>
  </r>
  <r>
    <n v="10686"/>
    <d v="2022-12-24T00:00:00"/>
    <x v="4"/>
    <n v="9.95"/>
    <x v="22"/>
    <s v="In-store "/>
    <s v=" Cash"/>
    <s v="Joao Silva"/>
    <s v="Lisbon"/>
    <x v="24"/>
    <s v="Joao Silva"/>
  </r>
  <r>
    <n v="10687"/>
    <d v="2022-12-24T00:00:00"/>
    <x v="0"/>
    <n v="3.49"/>
    <x v="7"/>
    <s v="In-store "/>
    <s v=" Cash"/>
    <s v="Walter Muller"/>
    <s v="Berlin"/>
    <x v="7"/>
    <s v="Walter Muller"/>
  </r>
  <r>
    <n v="10688"/>
    <d v="2022-12-24T00:00:00"/>
    <x v="1"/>
    <n v="2.95"/>
    <x v="6"/>
    <s v="In-store "/>
    <s v=" Cash"/>
    <s v="Walter Muller"/>
    <s v="Berlin"/>
    <x v="6"/>
    <s v="Walter Muller"/>
  </r>
  <r>
    <n v="10689"/>
    <d v="2022-12-24T00:00:00"/>
    <x v="2"/>
    <n v="4.99"/>
    <x v="2"/>
    <s v="In-store "/>
    <s v=" Cash"/>
    <s v="Walter Muller"/>
    <s v="Berlin"/>
    <x v="2"/>
    <s v="Walter Muller"/>
  </r>
  <r>
    <n v="10690"/>
    <d v="2022-12-25T00:00:00"/>
    <x v="3"/>
    <n v="12.99"/>
    <x v="21"/>
    <s v="In-store "/>
    <s v=" Cash"/>
    <s v="Walter Muller"/>
    <s v="Berlin"/>
    <x v="23"/>
    <s v="Walter Muller"/>
  </r>
  <r>
    <n v="10691"/>
    <d v="2022-12-25T00:00:00"/>
    <x v="4"/>
    <n v="9.95"/>
    <x v="23"/>
    <s v="In-store "/>
    <s v=" Cash"/>
    <s v="Walter Muller"/>
    <s v="Berlin"/>
    <x v="25"/>
    <s v="Walter Muller"/>
  </r>
  <r>
    <n v="10692"/>
    <d v="2022-12-25T00:00:00"/>
    <x v="0"/>
    <n v="3.49"/>
    <x v="7"/>
    <s v="In-store "/>
    <s v=" Cash"/>
    <s v="Walter Muller"/>
    <s v="Berlin"/>
    <x v="7"/>
    <s v="Walter Muller"/>
  </r>
  <r>
    <n v="10693"/>
    <d v="2022-12-25T00:00:00"/>
    <x v="1"/>
    <n v="2.95"/>
    <x v="6"/>
    <s v="In-store "/>
    <s v=" Cash"/>
    <s v="Walter Muller"/>
    <s v="Berlin"/>
    <x v="6"/>
    <s v="Walter Muller"/>
  </r>
  <r>
    <n v="10694"/>
    <d v="2022-12-25T00:00:00"/>
    <x v="2"/>
    <n v="4.99"/>
    <x v="2"/>
    <s v="In-store "/>
    <s v=" Cash"/>
    <s v="Walter Muller"/>
    <s v="Berlin"/>
    <x v="2"/>
    <s v="Walter Muller"/>
  </r>
  <r>
    <n v="10695"/>
    <d v="2022-12-26T00:00:00"/>
    <x v="3"/>
    <n v="12.99"/>
    <x v="24"/>
    <s v="In-store "/>
    <s v=" Cash"/>
    <s v="Walter Muller"/>
    <s v="Berlin"/>
    <x v="26"/>
    <s v="Walter Muller"/>
  </r>
  <r>
    <n v="10696"/>
    <d v="2022-12-26T00:00:00"/>
    <x v="4"/>
    <n v="9.95"/>
    <x v="25"/>
    <s v="In-store "/>
    <s v=" Cash"/>
    <s v="Walter Muller"/>
    <s v="Berlin"/>
    <x v="27"/>
    <s v="Walter Muller"/>
  </r>
  <r>
    <n v="10697"/>
    <d v="2022-12-26T00:00:00"/>
    <x v="0"/>
    <n v="3.49"/>
    <x v="7"/>
    <s v="In-store "/>
    <s v=" Cash"/>
    <s v="Walter Muller"/>
    <s v="Berlin"/>
    <x v="7"/>
    <s v="Walter Muller"/>
  </r>
  <r>
    <n v="10698"/>
    <d v="2022-12-26T00:00:00"/>
    <x v="1"/>
    <n v="2.95"/>
    <x v="6"/>
    <s v="In-store "/>
    <s v=" Cash"/>
    <s v="Walter Muller"/>
    <s v="Berlin"/>
    <x v="6"/>
    <s v="Walter Muller"/>
  </r>
  <r>
    <n v="10699"/>
    <d v="2022-12-26T00:00:00"/>
    <x v="2"/>
    <n v="4.99"/>
    <x v="2"/>
    <s v="In-store "/>
    <s v=" Cash"/>
    <s v="Walter Muller"/>
    <s v="Berlin"/>
    <x v="2"/>
    <s v="Walter Muller"/>
  </r>
  <r>
    <n v="10700"/>
    <d v="2022-12-27T00:00:00"/>
    <x v="3"/>
    <n v="12.99"/>
    <x v="24"/>
    <s v="In-store "/>
    <s v=" Cash"/>
    <s v="Walter Muller"/>
    <s v="Berlin"/>
    <x v="26"/>
    <s v="Walter Muller"/>
  </r>
  <r>
    <n v="10701"/>
    <d v="2022-12-27T00:00:00"/>
    <x v="4"/>
    <n v="9.95"/>
    <x v="25"/>
    <s v="In-store "/>
    <s v=" Cash"/>
    <s v="Walter Muller"/>
    <s v="Berlin"/>
    <x v="27"/>
    <s v="Walter Muller"/>
  </r>
  <r>
    <n v="10702"/>
    <d v="2022-12-27T00:00:00"/>
    <x v="0"/>
    <n v="3.49"/>
    <x v="7"/>
    <s v="In-store "/>
    <s v=" Cash"/>
    <s v="Walter Muller"/>
    <s v="Berlin"/>
    <x v="7"/>
    <s v="Walter Muller"/>
  </r>
  <r>
    <n v="10703"/>
    <d v="2022-12-27T00:00:00"/>
    <x v="1"/>
    <n v="2.95"/>
    <x v="6"/>
    <s v="In-store "/>
    <s v=" Gift Card"/>
    <s v="Walter Muller"/>
    <s v="Berlin"/>
    <x v="6"/>
    <s v="Walter Muller"/>
  </r>
  <r>
    <n v="10704"/>
    <d v="2022-12-27T00:00:00"/>
    <x v="2"/>
    <n v="4.99"/>
    <x v="2"/>
    <s v="Drive-thru "/>
    <s v=" Gift Card"/>
    <s v="Walter Muller"/>
    <s v="Berlin"/>
    <x v="2"/>
    <s v="Walter Muller"/>
  </r>
  <r>
    <n v="10705"/>
    <d v="2022-12-28T00:00:00"/>
    <x v="3"/>
    <n v="12.99"/>
    <x v="26"/>
    <s v="Drive-thru "/>
    <s v=" Gift Card"/>
    <s v="Walter Muller"/>
    <s v="Berlin"/>
    <x v="28"/>
    <s v="Walter Muller"/>
  </r>
  <r>
    <n v="10706"/>
    <d v="2022-12-28T00:00:00"/>
    <x v="4"/>
    <n v="9.95"/>
    <x v="27"/>
    <s v="Drive-thru "/>
    <s v=" Gift Card"/>
    <s v="Walter Muller"/>
    <s v="Berlin"/>
    <x v="29"/>
    <s v="Walter Muller"/>
  </r>
  <r>
    <n v="10707"/>
    <d v="2022-12-28T00:00:00"/>
    <x v="0"/>
    <n v="3.49"/>
    <x v="7"/>
    <s v="Drive-thru "/>
    <s v=" Gift Card"/>
    <s v="Walter Muller"/>
    <s v="Berlin"/>
    <x v="7"/>
    <s v="Walter Muller"/>
  </r>
  <r>
    <n v="10708"/>
    <d v="2022-12-28T00:00:00"/>
    <x v="1"/>
    <n v="2.95"/>
    <x v="6"/>
    <s v="Drive-thru "/>
    <s v=" Gift Card"/>
    <s v="Walter Muller"/>
    <s v="Berlin"/>
    <x v="6"/>
    <s v="Walter Muller"/>
  </r>
  <r>
    <n v="10709"/>
    <d v="2022-12-28T00:00:00"/>
    <x v="2"/>
    <n v="4.99"/>
    <x v="2"/>
    <s v="Drive-thru "/>
    <s v=" Gift Card"/>
    <s v="Walter Muller"/>
    <s v="Berlin"/>
    <x v="2"/>
    <s v="Walter Muller"/>
  </r>
  <r>
    <n v="10710"/>
    <d v="2022-12-29T00:00:00"/>
    <x v="3"/>
    <n v="12.99"/>
    <x v="28"/>
    <s v="Drive-thru "/>
    <s v=" Gift Card"/>
    <s v="Walter Muller"/>
    <s v="Berlin"/>
    <x v="30"/>
    <s v="Walter Muller"/>
  </r>
  <r>
    <n v="10711"/>
    <d v="2022-12-29T00:00:00"/>
    <x v="4"/>
    <n v="9.95"/>
    <x v="25"/>
    <s v="Drive-thru "/>
    <s v=" Gift Card"/>
    <s v="Walter Muller"/>
    <s v="Berlin"/>
    <x v="27"/>
    <s v="Walter Muller"/>
  </r>
  <r>
    <n v="10712"/>
    <d v="2022-12-29T00:00:00"/>
    <x v="0"/>
    <n v="3.49"/>
    <x v="7"/>
    <s v="Drive-thru "/>
    <s v=" Gift Card"/>
    <s v="Walter Muller"/>
    <s v="Berlin"/>
    <x v="7"/>
    <s v="Walter Muller"/>
  </r>
  <r>
    <n v="10713"/>
    <d v="2022-12-29T00:00:00"/>
    <x v="1"/>
    <n v="2.95"/>
    <x v="6"/>
    <s v="Drive-thru "/>
    <s v=" Gift Card"/>
    <s v="Walter Muller"/>
    <s v="Berlin"/>
    <x v="6"/>
    <s v="Walter Muller"/>
  </r>
  <r>
    <m/>
    <m/>
    <x v="5"/>
    <m/>
    <x v="29"/>
    <m/>
    <m/>
    <m/>
    <m/>
    <x v="31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55">
  <r>
    <x v="0"/>
    <x v="0"/>
    <s v="Fries"/>
    <n v="3.49"/>
    <n v="573.07"/>
    <x v="0"/>
    <s v=" Gift Card"/>
    <s v="Tom      Jackson"/>
    <s v="London"/>
    <n v="2000.0143000000003"/>
    <s v="Tom Jackson"/>
  </r>
  <r>
    <x v="1"/>
    <x v="0"/>
    <s v="Beverages"/>
    <n v="2.95"/>
    <n v="745.76"/>
    <x v="0"/>
    <s v=" Gift Card"/>
    <s v="       Pablo Perez"/>
    <s v="Madrid"/>
    <n v="2199.992"/>
    <s v="Pablo Perez"/>
  </r>
  <r>
    <x v="2"/>
    <x v="0"/>
    <s v="Sides &amp; Other"/>
    <n v="4.99"/>
    <n v="200.4"/>
    <x v="1"/>
    <s v=" Gift Card"/>
    <s v="Joao    Silva"/>
    <s v="Lisbon"/>
    <n v="999.9960000000001"/>
    <s v="Joao Silva"/>
  </r>
  <r>
    <x v="3"/>
    <x v="1"/>
    <s v="Burgers"/>
    <n v="12.99"/>
    <n v="569.67"/>
    <x v="1"/>
    <s v=" Credit Card"/>
    <s v="Walter Muller"/>
    <s v="Berlin"/>
    <n v="7400.0133"/>
    <s v="Walter Muller"/>
  </r>
  <r>
    <x v="4"/>
    <x v="1"/>
    <s v="Chicken Sandwiches"/>
    <n v="9.95"/>
    <n v="201.01"/>
    <x v="1"/>
    <s v=" Credit Card"/>
    <s v="Walter Muller"/>
    <s v="Berlin"/>
    <n v="2000.0494999999999"/>
    <s v="Walter Muller"/>
  </r>
  <r>
    <x v="5"/>
    <x v="1"/>
    <s v="Fries"/>
    <n v="3.49"/>
    <n v="573.07"/>
    <x v="1"/>
    <s v=" Credit Card"/>
    <s v="Remy    Monet"/>
    <s v="Paris"/>
    <n v="2000.0143000000003"/>
    <s v="Remy Monet"/>
  </r>
  <r>
    <x v="6"/>
    <x v="1"/>
    <s v="Sides &amp; Other"/>
    <n v="4.99"/>
    <n v="200.4"/>
    <x v="1"/>
    <s v=" Credit Card"/>
    <s v="Walter Muller"/>
    <s v="Berlin"/>
    <n v="999.9960000000001"/>
    <s v="Walter Muller"/>
  </r>
  <r>
    <x v="7"/>
    <x v="2"/>
    <s v="Burgers"/>
    <n v="12.99"/>
    <n v="554.27"/>
    <x v="1"/>
    <s v=" Credit Card"/>
    <s v="Remy Monet"/>
    <s v="Paris"/>
    <n v="7199.9673"/>
    <s v="Remy Monet"/>
  </r>
  <r>
    <x v="8"/>
    <x v="2"/>
    <s v="Chicken Sandwiches"/>
    <n v="9.95"/>
    <n v="201.01"/>
    <x v="1"/>
    <s v=" Credit Card"/>
    <s v="Remy Monet"/>
    <s v="Paris"/>
    <n v="2000.0494999999999"/>
    <s v="Remy Monet"/>
  </r>
  <r>
    <x v="9"/>
    <x v="2"/>
    <s v="Fries"/>
    <n v="3.49"/>
    <n v="573.07"/>
    <x v="1"/>
    <s v=" Credit Card"/>
    <s v="       Remy Monet"/>
    <s v="Paris"/>
    <n v="2000.0143000000003"/>
    <s v="Remy Monet"/>
  </r>
  <r>
    <x v="10"/>
    <x v="2"/>
    <s v="Beverages"/>
    <n v="2.95"/>
    <n v="677.97"/>
    <x v="1"/>
    <s v=" Credit Card"/>
    <s v="       Remy Monet"/>
    <s v="Paris"/>
    <n v="2000.0115000000003"/>
    <s v="Remy Monet"/>
  </r>
  <r>
    <x v="11"/>
    <x v="2"/>
    <s v="Sides &amp; Other"/>
    <n v="4.99"/>
    <n v="200.4"/>
    <x v="1"/>
    <s v=" Credit Card"/>
    <s v="Remy     Monet"/>
    <s v="Paris"/>
    <n v="999.9960000000001"/>
    <s v="Remy Monet"/>
  </r>
  <r>
    <x v="12"/>
    <x v="3"/>
    <s v="Burgers"/>
    <n v="12.99"/>
    <n v="554.27"/>
    <x v="1"/>
    <s v=" Credit Card"/>
    <s v="Pablo Perez"/>
    <s v="Madrid"/>
    <n v="7199.9673"/>
    <s v="Pablo Perez"/>
  </r>
  <r>
    <x v="13"/>
    <x v="3"/>
    <s v="Chicken Sandwiches"/>
    <n v="9.95"/>
    <n v="201.01"/>
    <x v="1"/>
    <s v=" Credit Card"/>
    <s v="Pablo Perez"/>
    <s v="Madrid"/>
    <n v="2000.0494999999999"/>
    <s v="Pablo Perez"/>
  </r>
  <r>
    <x v="14"/>
    <x v="3"/>
    <s v="Fries"/>
    <n v="3.49"/>
    <n v="573.07"/>
    <x v="1"/>
    <s v=" Credit Card"/>
    <s v="Pablo Perez"/>
    <s v="Madrid"/>
    <n v="2000.0143000000003"/>
    <s v="Pablo Perez"/>
  </r>
  <r>
    <x v="15"/>
    <x v="3"/>
    <s v="Beverages"/>
    <n v="2.95"/>
    <n v="677.97"/>
    <x v="1"/>
    <s v=" Credit Card"/>
    <s v="       Pablo Perez"/>
    <s v="Madrid"/>
    <n v="2000.0115000000003"/>
    <s v="Pablo Perez"/>
  </r>
  <r>
    <x v="16"/>
    <x v="4"/>
    <s v="Burgers"/>
    <n v="12.99"/>
    <n v="554.27"/>
    <x v="1"/>
    <s v=" Credit Card"/>
    <s v="       Pablo Perez"/>
    <s v="Madrid"/>
    <n v="7199.9673"/>
    <s v="Pablo Perez"/>
  </r>
  <r>
    <x v="17"/>
    <x v="4"/>
    <s v="Chicken Sandwiches"/>
    <n v="9.95"/>
    <n v="201.01"/>
    <x v="1"/>
    <s v=" Credit Card"/>
    <s v="       Pablo Perez"/>
    <s v="Madrid"/>
    <n v="2000.0494999999999"/>
    <s v="Pablo Perez"/>
  </r>
  <r>
    <x v="18"/>
    <x v="4"/>
    <s v="Fries"/>
    <n v="3.49"/>
    <n v="630.37"/>
    <x v="1"/>
    <s v=" Credit Card"/>
    <s v="Pablo   Perez"/>
    <s v="Madrid"/>
    <n v="2199.9913"/>
    <s v="Pablo Perez"/>
  </r>
  <r>
    <x v="19"/>
    <x v="4"/>
    <s v="Beverages"/>
    <n v="2.95"/>
    <n v="677.97"/>
    <x v="1"/>
    <s v=" Credit Card"/>
    <s v="       Pablo Perez"/>
    <s v="Madrid"/>
    <n v="2000.0115000000003"/>
    <s v="Pablo Perez"/>
  </r>
  <r>
    <x v="20"/>
    <x v="4"/>
    <s v="Sides &amp; Other"/>
    <n v="4.99"/>
    <n v="200.4"/>
    <x v="1"/>
    <s v=" Credit Card"/>
    <s v="       Pablo Perez"/>
    <s v="Madrid"/>
    <n v="999.9960000000001"/>
    <s v="Pablo Perez"/>
  </r>
  <r>
    <x v="21"/>
    <x v="5"/>
    <s v="Burgers"/>
    <n v="12.99"/>
    <n v="523.48"/>
    <x v="1"/>
    <s v=" Credit Card"/>
    <s v="       Pablo Perez"/>
    <s v="Madrid"/>
    <n v="6800.0052000000005"/>
    <s v="Pablo Perez"/>
  </r>
  <r>
    <x v="22"/>
    <x v="5"/>
    <s v="Chicken Sandwiches"/>
    <n v="9.95"/>
    <n v="201.01"/>
    <x v="1"/>
    <s v=" Credit Card"/>
    <s v="Pablo Perez"/>
    <s v="Madrid"/>
    <n v="2000.0494999999999"/>
    <s v="Pablo Perez"/>
  </r>
  <r>
    <x v="23"/>
    <x v="5"/>
    <s v="Fries"/>
    <n v="3.49"/>
    <n v="630.37"/>
    <x v="1"/>
    <s v=" Credit Card"/>
    <s v="Pablo  Perez"/>
    <s v="Madrid"/>
    <n v="2199.9913"/>
    <s v="Pablo Perez"/>
  </r>
  <r>
    <x v="24"/>
    <x v="5"/>
    <s v="Beverages"/>
    <n v="2.95"/>
    <n v="677.97"/>
    <x v="1"/>
    <s v=" Credit Card"/>
    <s v="Pablo Perez"/>
    <s v="Madrid"/>
    <n v="2000.0115000000003"/>
    <s v="Pablo Perez"/>
  </r>
  <r>
    <x v="25"/>
    <x v="5"/>
    <s v="Sides &amp; Other"/>
    <n v="4.99"/>
    <n v="200.4"/>
    <x v="1"/>
    <s v=" Credit Card"/>
    <s v="Pablo    Perez"/>
    <s v="Madrid"/>
    <n v="999.9960000000001"/>
    <s v="Pablo Perez"/>
  </r>
  <r>
    <x v="26"/>
    <x v="6"/>
    <s v="Burgers"/>
    <n v="12.99"/>
    <n v="508.08"/>
    <x v="1"/>
    <s v=" Credit Card"/>
    <s v="Pablo Perez"/>
    <s v="Madrid"/>
    <n v="6599.9592"/>
    <s v="Pablo Perez"/>
  </r>
  <r>
    <x v="27"/>
    <x v="6"/>
    <s v="Chicken Sandwiches"/>
    <n v="9.95"/>
    <n v="201.01"/>
    <x v="1"/>
    <s v=" Credit Card"/>
    <s v="Pablo Perez"/>
    <s v="Madrid"/>
    <n v="2000.0494999999999"/>
    <s v="Pablo Perez"/>
  </r>
  <r>
    <x v="28"/>
    <x v="6"/>
    <s v="Fries"/>
    <n v="25.5"/>
    <n v="630.37"/>
    <x v="1"/>
    <s v=" Credit Card"/>
    <s v="Joao Silva"/>
    <s v="Lisbon"/>
    <n v="16074.435"/>
    <s v="Joao Silva"/>
  </r>
  <r>
    <x v="29"/>
    <x v="7"/>
    <s v="Chicken Sandwiches"/>
    <n v="29.05"/>
    <n v="201.01"/>
    <x v="1"/>
    <s v=" Credit Card"/>
    <s v="Joao    Silva"/>
    <s v="Lisbon"/>
    <n v="5839.3405"/>
    <s v="Joao Silva"/>
  </r>
  <r>
    <x v="30"/>
    <x v="7"/>
    <s v="Fries"/>
    <n v="3.49"/>
    <n v="630.37"/>
    <x v="1"/>
    <s v=" Credit Card"/>
    <s v="Joao Silva"/>
    <s v="Lisbon"/>
    <n v="2199.9913"/>
    <s v="Joao Silva"/>
  </r>
  <r>
    <x v="31"/>
    <x v="7"/>
    <s v="Beverages"/>
    <n v="2.95"/>
    <n v="677.97"/>
    <x v="1"/>
    <s v=" Credit Card"/>
    <s v="Joao Silva"/>
    <s v="Lisbon"/>
    <n v="2000.0115000000003"/>
    <s v="Joao Silva"/>
  </r>
  <r>
    <x v="32"/>
    <x v="7"/>
    <s v="Sides &amp; Other"/>
    <n v="4.99"/>
    <n v="200.4"/>
    <x v="1"/>
    <s v=" Credit Card"/>
    <s v="Pablo Perez"/>
    <s v="Madrid"/>
    <n v="999.9960000000001"/>
    <s v="Pablo Perez"/>
  </r>
  <r>
    <x v="33"/>
    <x v="8"/>
    <s v="Burgers"/>
    <n v="12.99"/>
    <n v="508.08"/>
    <x v="1"/>
    <s v=" Credit Card"/>
    <s v="Pablo Perez"/>
    <s v="Madrid"/>
    <n v="6599.9592"/>
    <s v="Pablo Perez"/>
  </r>
  <r>
    <x v="34"/>
    <x v="8"/>
    <s v="Chicken Sandwiches"/>
    <n v="9.95"/>
    <n v="201.01"/>
    <x v="1"/>
    <s v=" Credit Card"/>
    <s v="Pablo Perez"/>
    <s v="Madrid"/>
    <n v="2000.0494999999999"/>
    <s v="Pablo Perez"/>
  </r>
  <r>
    <x v="35"/>
    <x v="8"/>
    <s v="Fries"/>
    <n v="3.49"/>
    <n v="573.07"/>
    <x v="1"/>
    <s v=" Credit Card"/>
    <s v="Pablo Perez"/>
    <s v="Madrid"/>
    <n v="2000.0143000000003"/>
    <s v="Pablo Perez"/>
  </r>
  <r>
    <x v="36"/>
    <x v="8"/>
    <s v="Beverages"/>
    <n v="2.95"/>
    <n v="677.97"/>
    <x v="1"/>
    <s v=" Credit Card"/>
    <s v="Pablo Perez"/>
    <s v="Madrid"/>
    <n v="2000.0115000000003"/>
    <s v="Pablo Perez"/>
  </r>
  <r>
    <x v="37"/>
    <x v="8"/>
    <s v="Sides &amp; Other"/>
    <n v="4.99"/>
    <n v="200.4"/>
    <x v="1"/>
    <s v=" Credit Card"/>
    <s v="Pablo Perez"/>
    <s v="Madrid"/>
    <n v="999.9960000000001"/>
    <s v="Pablo Perez"/>
  </r>
  <r>
    <x v="38"/>
    <x v="9"/>
    <s v="Burgers"/>
    <n v="12.99"/>
    <n v="508.08"/>
    <x v="1"/>
    <s v=" Credit Card"/>
    <s v="Pablo Perez"/>
    <s v="Madrid"/>
    <n v="6599.9592"/>
    <s v="Pablo Perez"/>
  </r>
  <r>
    <x v="39"/>
    <x v="9"/>
    <s v="Chicken Sandwiches"/>
    <n v="9.95"/>
    <n v="201.01"/>
    <x v="1"/>
    <s v=" Credit Card"/>
    <s v="Pablo Perez"/>
    <s v="Madrid"/>
    <n v="2000.0494999999999"/>
    <s v="Pablo Perez"/>
  </r>
  <r>
    <x v="40"/>
    <x v="9"/>
    <s v="Fries"/>
    <n v="3.49"/>
    <n v="573.07"/>
    <x v="1"/>
    <s v=" Credit Card"/>
    <s v="Pablo Perez"/>
    <s v="Madrid"/>
    <n v="2000.0143000000003"/>
    <s v="Pablo Perez"/>
  </r>
  <r>
    <x v="41"/>
    <x v="9"/>
    <s v="Beverages"/>
    <n v="2.95"/>
    <n v="677.97"/>
    <x v="2"/>
    <s v=" Credit Card"/>
    <s v="Pablo Perez"/>
    <s v="Madrid"/>
    <n v="2000.0115000000003"/>
    <s v="Pablo Perez"/>
  </r>
  <r>
    <x v="42"/>
    <x v="9"/>
    <s v="Sides &amp; Other"/>
    <n v="4.99"/>
    <n v="200.4"/>
    <x v="2"/>
    <s v=" Credit Card"/>
    <s v="Pablo Perez"/>
    <s v="Madrid"/>
    <n v="999.9960000000001"/>
    <s v="Pablo Perez"/>
  </r>
  <r>
    <x v="43"/>
    <x v="10"/>
    <s v="Burgers"/>
    <n v="12.99"/>
    <n v="523.48"/>
    <x v="2"/>
    <s v=" Credit Card"/>
    <s v="Pablo Perez"/>
    <s v="Madrid"/>
    <n v="6800.0052000000005"/>
    <s v="Pablo Perez"/>
  </r>
  <r>
    <x v="44"/>
    <x v="10"/>
    <s v="Chicken Sandwiches"/>
    <n v="9.95"/>
    <n v="201.01"/>
    <x v="2"/>
    <s v=" Credit Card"/>
    <s v="Pablo Perez"/>
    <s v="Madrid"/>
    <n v="2000.0494999999999"/>
    <s v="Pablo Perez"/>
  </r>
  <r>
    <x v="45"/>
    <x v="10"/>
    <s v="Fries"/>
    <n v="3.49"/>
    <n v="630.37"/>
    <x v="2"/>
    <s v=" Credit Card"/>
    <s v="Pablo Perez"/>
    <s v="Madrid"/>
    <n v="2199.9913"/>
    <s v="Pablo Perez"/>
  </r>
  <r>
    <x v="46"/>
    <x v="10"/>
    <s v="Beverages"/>
    <n v="2.95"/>
    <n v="677.97"/>
    <x v="2"/>
    <s v=" Credit Card"/>
    <s v="Pablo Perez"/>
    <s v="Madrid"/>
    <n v="2000.0115000000003"/>
    <s v="Pablo Perez"/>
  </r>
  <r>
    <x v="47"/>
    <x v="10"/>
    <s v="Sides &amp; Other"/>
    <n v="4.99"/>
    <n v="200.4"/>
    <x v="2"/>
    <s v=" Credit Card"/>
    <s v="Pablo Perez"/>
    <s v="Madrid"/>
    <n v="999.9960000000001"/>
    <s v="Pablo Perez"/>
  </r>
  <r>
    <x v="48"/>
    <x v="11"/>
    <s v="Burgers"/>
    <n v="12.99"/>
    <n v="538.88"/>
    <x v="2"/>
    <s v=" Credit Card"/>
    <s v="Pablo Perez"/>
    <s v="Madrid"/>
    <n v="7000.0512"/>
    <s v="Pablo Perez"/>
  </r>
  <r>
    <x v="49"/>
    <x v="11"/>
    <s v="Chicken Sandwiches"/>
    <n v="9.95"/>
    <n v="201.01"/>
    <x v="2"/>
    <s v=" Credit Card"/>
    <s v="Pablo Perez"/>
    <s v="Madrid"/>
    <n v="2000.0494999999999"/>
    <s v="Pablo Perez"/>
  </r>
  <r>
    <x v="50"/>
    <x v="11"/>
    <s v="Fries"/>
    <n v="3.49"/>
    <n v="687.68"/>
    <x v="2"/>
    <s v=" Credit Card"/>
    <s v="Pablo Perez"/>
    <s v="Madrid"/>
    <n v="2400.0032"/>
    <s v="Pablo Perez"/>
  </r>
  <r>
    <x v="51"/>
    <x v="11"/>
    <s v="Beverages"/>
    <n v="2.95"/>
    <n v="677.97"/>
    <x v="2"/>
    <s v=" Credit Card"/>
    <s v="Pablo Perez"/>
    <s v="Madrid"/>
    <n v="2000.0115000000003"/>
    <s v="Pablo Perez"/>
  </r>
  <r>
    <x v="52"/>
    <x v="11"/>
    <s v="Sides &amp; Other"/>
    <n v="4.99"/>
    <n v="200.4"/>
    <x v="2"/>
    <s v=" Credit Card"/>
    <s v="Pablo Perez"/>
    <s v="Madrid"/>
    <n v="999.9960000000001"/>
    <s v="Pablo Perez"/>
  </r>
  <r>
    <x v="53"/>
    <x v="12"/>
    <s v="Burgers"/>
    <n v="12.99"/>
    <n v="508.08"/>
    <x v="2"/>
    <s v=" Credit Card"/>
    <s v="Pablo Perez"/>
    <s v="Madrid"/>
    <n v="6599.9592"/>
    <s v="Pablo Perez"/>
  </r>
  <r>
    <x v="54"/>
    <x v="12"/>
    <s v="Chicken Sandwiches"/>
    <n v="9.95"/>
    <n v="201.01"/>
    <x v="2"/>
    <s v=" Credit Card"/>
    <s v="Joao Silva"/>
    <s v="Lisbon"/>
    <n v="2000.0494999999999"/>
    <s v="Joao Silva"/>
  </r>
  <r>
    <x v="55"/>
    <x v="12"/>
    <s v="Fries"/>
    <n v="3.49"/>
    <n v="687.68"/>
    <x v="2"/>
    <s v=" Credit Card"/>
    <s v="Joao Silva"/>
    <s v="Lisbon"/>
    <n v="2400.0032"/>
    <s v="Joao Silva"/>
  </r>
  <r>
    <x v="56"/>
    <x v="12"/>
    <s v="Beverages"/>
    <n v="2.95"/>
    <n v="677.97"/>
    <x v="2"/>
    <s v=" Cash"/>
    <s v="Joao Silva"/>
    <s v="Lisbon"/>
    <n v="2000.0115000000003"/>
    <s v="Joao Silva"/>
  </r>
  <r>
    <x v="57"/>
    <x v="12"/>
    <s v="Sides &amp; Other"/>
    <n v="4.99"/>
    <n v="200.4"/>
    <x v="2"/>
    <s v=" Cash"/>
    <s v="Joao Silva"/>
    <s v="Lisbon"/>
    <n v="999.9960000000001"/>
    <s v="Joao Silva"/>
  </r>
  <r>
    <x v="58"/>
    <x v="13"/>
    <s v="Burgers"/>
    <n v="12.99"/>
    <n v="477.29"/>
    <x v="2"/>
    <s v=" Cash"/>
    <s v="Joao Silva"/>
    <s v="Lisbon"/>
    <n v="6199.9971000000005"/>
    <s v="Joao Silva"/>
  </r>
  <r>
    <x v="59"/>
    <x v="13"/>
    <s v="Chicken Sandwiches"/>
    <n v="9.95"/>
    <n v="201.01"/>
    <x v="2"/>
    <s v=" Cash"/>
    <s v="Joao Silva"/>
    <s v="Lisbon"/>
    <n v="2000.0494999999999"/>
    <s v="Joao Silva"/>
  </r>
  <r>
    <x v="60"/>
    <x v="6"/>
    <s v="Beverages"/>
    <n v="2.95"/>
    <n v="677.97"/>
    <x v="1"/>
    <s v=" Credit Card"/>
    <s v="Joao    Silva"/>
    <s v="Lisbon"/>
    <n v="2000.0115000000003"/>
    <s v="Joao Silva"/>
  </r>
  <r>
    <x v="61"/>
    <x v="6"/>
    <s v="Sides &amp; Other"/>
    <n v="4.99"/>
    <n v="200.4"/>
    <x v="1"/>
    <s v=" Credit Card"/>
    <s v="Joao    Silva"/>
    <s v="Lisbon"/>
    <n v="999.9960000000001"/>
    <s v="Joao Silva"/>
  </r>
  <r>
    <x v="62"/>
    <x v="7"/>
    <s v="Burgers"/>
    <n v="12.99"/>
    <n v="523.48"/>
    <x v="1"/>
    <s v=" Credit Card"/>
    <s v="Joao    Silva"/>
    <s v="Lisbon"/>
    <n v="6800.0052000000005"/>
    <s v="Joao Silva"/>
  </r>
  <r>
    <x v="63"/>
    <x v="14"/>
    <s v="Burgers"/>
    <n v="12.99"/>
    <n v="492.69"/>
    <x v="2"/>
    <s v=" Cash"/>
    <s v="Remy Monet"/>
    <s v="Paris"/>
    <n v="6400.0431"/>
    <s v="Remy Monet"/>
  </r>
  <r>
    <x v="64"/>
    <x v="14"/>
    <s v="Chicken Sandwiches"/>
    <n v="9.95"/>
    <n v="201.01"/>
    <x v="2"/>
    <s v=" Cash"/>
    <s v="Remy Monet"/>
    <s v="Paris"/>
    <n v="2000.0494999999999"/>
    <s v="Remy Monet"/>
  </r>
  <r>
    <x v="65"/>
    <x v="14"/>
    <s v="Fries"/>
    <n v="3.49"/>
    <n v="687.68"/>
    <x v="2"/>
    <s v=" Cash"/>
    <s v="Remy Monet"/>
    <s v="Paris"/>
    <n v="2400.0032"/>
    <s v="Remy Monet"/>
  </r>
  <r>
    <x v="66"/>
    <x v="14"/>
    <s v="Beverages"/>
    <n v="2.95"/>
    <n v="745.76"/>
    <x v="2"/>
    <s v=" Cash"/>
    <s v="Remy Monet"/>
    <s v="Paris"/>
    <n v="2199.992"/>
    <s v="Remy Monet"/>
  </r>
  <r>
    <x v="67"/>
    <x v="14"/>
    <s v="Sides &amp; Other"/>
    <n v="4.99"/>
    <n v="200.4"/>
    <x v="2"/>
    <s v=" Cash"/>
    <s v="Remy Monet"/>
    <s v="Paris"/>
    <n v="999.9960000000001"/>
    <s v="Remy Monet"/>
  </r>
  <r>
    <x v="68"/>
    <x v="15"/>
    <s v="Burgers"/>
    <n v="12.99"/>
    <n v="461.89"/>
    <x v="2"/>
    <s v=" Cash"/>
    <s v="Remy Monet"/>
    <s v="Paris"/>
    <n v="5999.9511"/>
    <s v="Remy Monet"/>
  </r>
  <r>
    <x v="69"/>
    <x v="15"/>
    <s v="Chicken Sandwiches"/>
    <n v="9.95"/>
    <n v="201.01"/>
    <x v="2"/>
    <s v=" Cash"/>
    <s v="Remy Monet"/>
    <s v="Paris"/>
    <n v="2000.0494999999999"/>
    <s v="Remy Monet"/>
  </r>
  <r>
    <x v="70"/>
    <x v="15"/>
    <s v="Fries"/>
    <n v="3.49"/>
    <n v="687.68"/>
    <x v="2"/>
    <s v=" Cash"/>
    <s v="Remy Monet"/>
    <s v="Paris"/>
    <n v="2400.0032"/>
    <s v="Remy Monet"/>
  </r>
  <r>
    <x v="71"/>
    <x v="15"/>
    <s v="Beverages"/>
    <n v="2.95"/>
    <n v="745.76"/>
    <x v="2"/>
    <s v=" Cash"/>
    <s v="Remy Monet"/>
    <s v="Paris"/>
    <n v="2199.992"/>
    <s v="Remy Monet"/>
  </r>
  <r>
    <x v="72"/>
    <x v="15"/>
    <s v="Sides &amp; Other"/>
    <n v="4.99"/>
    <n v="200.4"/>
    <x v="2"/>
    <s v=" Cash"/>
    <s v="Remy Monet"/>
    <s v="Paris"/>
    <n v="999.9960000000001"/>
    <s v="Remy Monet"/>
  </r>
  <r>
    <x v="73"/>
    <x v="16"/>
    <s v="Burgers"/>
    <n v="12.99"/>
    <n v="477.29"/>
    <x v="2"/>
    <s v=" Cash"/>
    <s v="Remy Monet"/>
    <s v="Paris"/>
    <n v="6199.9971000000005"/>
    <s v="Remy Monet"/>
  </r>
  <r>
    <x v="74"/>
    <x v="16"/>
    <s v="Chicken Sandwiches"/>
    <n v="9.95"/>
    <n v="201.01"/>
    <x v="2"/>
    <s v=" Cash"/>
    <s v="Remy Monet"/>
    <s v="Paris"/>
    <n v="2000.0494999999999"/>
    <s v="Remy Monet"/>
  </r>
  <r>
    <x v="75"/>
    <x v="16"/>
    <s v="Fries"/>
    <n v="3.49"/>
    <n v="687.68"/>
    <x v="2"/>
    <s v=" Cash"/>
    <s v="Joao Silva"/>
    <s v="Lisbon"/>
    <n v="2400.0032"/>
    <s v="Joao Silva"/>
  </r>
  <r>
    <x v="76"/>
    <x v="16"/>
    <s v="Beverages"/>
    <n v="2.95"/>
    <n v="745.76"/>
    <x v="2"/>
    <s v=" Cash"/>
    <s v="Joao Silva"/>
    <s v="Lisbon"/>
    <n v="2199.992"/>
    <s v="Joao Silva"/>
  </r>
  <r>
    <x v="77"/>
    <x v="16"/>
    <s v="Sides &amp; Other"/>
    <n v="4.99"/>
    <n v="200.4"/>
    <x v="2"/>
    <s v=" Cash"/>
    <s v="Pablo Perez"/>
    <s v="Madrid"/>
    <n v="999.9960000000001"/>
    <s v="Pablo Perez"/>
  </r>
  <r>
    <x v="78"/>
    <x v="17"/>
    <s v="Burgers"/>
    <n v="12.99"/>
    <n v="477.29"/>
    <x v="2"/>
    <s v=" Credit Card"/>
    <s v="Pablo Perez"/>
    <s v="Madrid"/>
    <n v="6199.9971000000005"/>
    <s v="Pablo Perez"/>
  </r>
  <r>
    <x v="79"/>
    <x v="17"/>
    <s v="Chicken Sandwiches"/>
    <n v="9.95"/>
    <n v="201.01"/>
    <x v="2"/>
    <s v=" Credit Card"/>
    <s v="Pablo Perez"/>
    <s v="Madrid"/>
    <n v="2000.0494999999999"/>
    <s v="Pablo Perez"/>
  </r>
  <r>
    <x v="80"/>
    <x v="18"/>
    <s v="Burgers"/>
    <n v="12.99"/>
    <n v="461.89"/>
    <x v="2"/>
    <s v=" Credit Card"/>
    <s v="Pablo Perez"/>
    <s v="Madrid"/>
    <n v="5999.9511"/>
    <s v="Pablo Perez"/>
  </r>
  <r>
    <x v="81"/>
    <x v="18"/>
    <s v="Chicken Sandwiches"/>
    <n v="9.95"/>
    <n v="201.01"/>
    <x v="2"/>
    <s v=" Credit Card"/>
    <s v="Tom Jackson"/>
    <s v="London"/>
    <n v="2000.0494999999999"/>
    <s v="Tom Jackson"/>
  </r>
  <r>
    <x v="82"/>
    <x v="18"/>
    <s v="Fries"/>
    <n v="3.49"/>
    <n v="630.37"/>
    <x v="2"/>
    <s v=" Credit Card"/>
    <s v="Tom Jackson"/>
    <s v="London"/>
    <n v="2199.9913"/>
    <s v="Tom Jackson"/>
  </r>
  <r>
    <x v="83"/>
    <x v="18"/>
    <s v="Beverages"/>
    <n v="2.95"/>
    <n v="745.76"/>
    <x v="2"/>
    <s v=" Credit Card"/>
    <s v="Tom Jackson"/>
    <s v="London"/>
    <n v="2199.992"/>
    <s v="Tom Jackson"/>
  </r>
  <r>
    <x v="84"/>
    <x v="18"/>
    <s v="Sides &amp; Other"/>
    <n v="4.99"/>
    <n v="200.4"/>
    <x v="2"/>
    <s v=" Credit Card"/>
    <s v="Tom Jackson"/>
    <s v="London"/>
    <n v="999.9960000000001"/>
    <s v="Tom Jackson"/>
  </r>
  <r>
    <x v="85"/>
    <x v="19"/>
    <s v="Burgers"/>
    <n v="12.99"/>
    <n v="446.5"/>
    <x v="2"/>
    <s v=" Credit Card"/>
    <s v="Tom Jackson"/>
    <s v="London"/>
    <n v="5800.035"/>
    <s v="Tom Jackson"/>
  </r>
  <r>
    <x v="86"/>
    <x v="19"/>
    <s v="Chicken Sandwiches"/>
    <n v="9.95"/>
    <n v="201.01"/>
    <x v="2"/>
    <s v=" Credit Card"/>
    <s v="Tom Jackson"/>
    <s v="London"/>
    <n v="2000.0494999999999"/>
    <s v="Tom Jackson"/>
  </r>
  <r>
    <x v="87"/>
    <x v="19"/>
    <s v="Fries"/>
    <n v="3.49"/>
    <n v="630.37"/>
    <x v="2"/>
    <s v=" Credit Card"/>
    <s v="Tom Jackson"/>
    <s v="London"/>
    <n v="2199.9913"/>
    <s v="Tom Jackson"/>
  </r>
  <r>
    <x v="88"/>
    <x v="19"/>
    <s v="Beverages"/>
    <n v="2.95"/>
    <n v="745.76"/>
    <x v="2"/>
    <s v=" Credit Card"/>
    <s v="Tom Jackson"/>
    <s v="London"/>
    <n v="2199.992"/>
    <s v="Tom Jackson"/>
  </r>
  <r>
    <x v="89"/>
    <x v="19"/>
    <s v="Sides &amp; Other"/>
    <n v="4.99"/>
    <n v="200.4"/>
    <x v="2"/>
    <s v=" Credit Card"/>
    <s v="Tom Jackson"/>
    <s v="London"/>
    <n v="999.9960000000001"/>
    <s v="Tom Jackson"/>
  </r>
  <r>
    <x v="90"/>
    <x v="20"/>
    <s v="Burgers"/>
    <n v="12.99"/>
    <n v="461.89"/>
    <x v="2"/>
    <s v=" Credit Card"/>
    <s v="Tom Jackson"/>
    <s v="London"/>
    <n v="5999.9511"/>
    <s v="Tom Jackson"/>
  </r>
  <r>
    <x v="91"/>
    <x v="20"/>
    <s v="Chicken Sandwiches"/>
    <n v="9.95"/>
    <n v="201.01"/>
    <x v="2"/>
    <s v=" Credit Card"/>
    <s v="Tom Jackson"/>
    <s v="London"/>
    <n v="2000.0494999999999"/>
    <s v="Tom Jackson"/>
  </r>
  <r>
    <x v="92"/>
    <x v="20"/>
    <s v="Fries"/>
    <n v="3.49"/>
    <n v="630.37"/>
    <x v="0"/>
    <s v=" Credit Card"/>
    <s v="Tom Jackson"/>
    <s v="London"/>
    <n v="2199.9913"/>
    <s v="Tom Jackson"/>
  </r>
  <r>
    <x v="93"/>
    <x v="20"/>
    <s v="Beverages"/>
    <n v="2.95"/>
    <n v="745.76"/>
    <x v="0"/>
    <s v=" Credit Card"/>
    <s v="Tom Jackson"/>
    <s v="London"/>
    <n v="2199.992"/>
    <s v="Tom Jackson"/>
  </r>
  <r>
    <x v="94"/>
    <x v="20"/>
    <s v="Sides &amp; Other"/>
    <n v="4.99"/>
    <n v="200.4"/>
    <x v="0"/>
    <s v=" Credit Card"/>
    <s v="Tom Jackson"/>
    <s v="London"/>
    <n v="999.9960000000001"/>
    <s v="Tom Jackson"/>
  </r>
  <r>
    <x v="95"/>
    <x v="21"/>
    <s v="Burgers"/>
    <n v="12.99"/>
    <n v="477.29"/>
    <x v="0"/>
    <s v=" Credit Card"/>
    <s v="Tom Jackson"/>
    <s v="London"/>
    <n v="6199.9971000000005"/>
    <s v="Tom Jackson"/>
  </r>
  <r>
    <x v="96"/>
    <x v="21"/>
    <s v="Chicken Sandwiches"/>
    <n v="9.95"/>
    <n v="201.01"/>
    <x v="0"/>
    <s v=" Credit Card"/>
    <s v="Tom Jackson"/>
    <s v="London"/>
    <n v="2000.0494999999999"/>
    <s v="Tom Jackson"/>
  </r>
  <r>
    <x v="97"/>
    <x v="21"/>
    <s v="Fries"/>
    <n v="3.49"/>
    <n v="630.37"/>
    <x v="0"/>
    <s v=" Credit Card"/>
    <s v="Tom Jackson"/>
    <s v="London"/>
    <n v="2199.9913"/>
    <s v="Tom Jackson"/>
  </r>
  <r>
    <x v="98"/>
    <x v="21"/>
    <s v="Beverages"/>
    <n v="2.95"/>
    <n v="677.97"/>
    <x v="0"/>
    <s v=" Credit Card"/>
    <s v="Tom Jackson"/>
    <s v="London"/>
    <n v="2000.0115000000003"/>
    <s v="Tom Jackson"/>
  </r>
  <r>
    <x v="99"/>
    <x v="21"/>
    <s v="Sides &amp; Other"/>
    <n v="4.99"/>
    <n v="200.4"/>
    <x v="0"/>
    <s v=" Credit Card"/>
    <s v="Tom Jackson"/>
    <s v="London"/>
    <n v="999.9960000000001"/>
    <s v="Tom Jackson"/>
  </r>
  <r>
    <x v="100"/>
    <x v="22"/>
    <s v="Burgers"/>
    <n v="12.99"/>
    <n v="477.29"/>
    <x v="0"/>
    <s v=" Credit Card"/>
    <s v="Tom Jackson"/>
    <s v="London"/>
    <n v="6199.9971000000005"/>
    <s v="Tom Jackson"/>
  </r>
  <r>
    <x v="101"/>
    <x v="22"/>
    <s v="Chicken Sandwiches"/>
    <n v="9.95"/>
    <n v="201.01"/>
    <x v="0"/>
    <s v=" Credit Card"/>
    <s v="Tom Jackson"/>
    <s v="London"/>
    <n v="2000.0494999999999"/>
    <s v="Tom Jackson"/>
  </r>
  <r>
    <x v="102"/>
    <x v="22"/>
    <s v="Fries"/>
    <n v="3.49"/>
    <n v="630.37"/>
    <x v="0"/>
    <s v=" Credit Card"/>
    <s v="Tom Jackson"/>
    <s v="London"/>
    <n v="2199.9913"/>
    <s v="Tom Jackson"/>
  </r>
  <r>
    <x v="103"/>
    <x v="22"/>
    <s v="Beverages"/>
    <n v="2.95"/>
    <n v="677.97"/>
    <x v="0"/>
    <s v=" Credit Card"/>
    <s v="Tom Jackson"/>
    <s v="London"/>
    <n v="2000.0115000000003"/>
    <s v="Tom Jackson"/>
  </r>
  <r>
    <x v="104"/>
    <x v="22"/>
    <s v="Sides &amp; Other"/>
    <n v="4.99"/>
    <n v="200.4"/>
    <x v="0"/>
    <s v=" Credit Card"/>
    <s v="Tom Jackson"/>
    <s v="London"/>
    <n v="999.9960000000001"/>
    <s v="Tom Jackson"/>
  </r>
  <r>
    <x v="105"/>
    <x v="23"/>
    <s v="Burgers"/>
    <n v="12.99"/>
    <n v="492.69"/>
    <x v="0"/>
    <s v=" Credit Card"/>
    <s v="Tom Jackson"/>
    <s v="London"/>
    <n v="6400.0431"/>
    <s v="Tom Jackson"/>
  </r>
  <r>
    <x v="106"/>
    <x v="23"/>
    <s v="Chicken Sandwiches"/>
    <n v="9.95"/>
    <n v="201.01"/>
    <x v="0"/>
    <s v=" Credit Card"/>
    <s v="Tom Jackson"/>
    <s v="London"/>
    <n v="2000.0494999999999"/>
    <s v="Tom Jackson"/>
  </r>
  <r>
    <x v="107"/>
    <x v="23"/>
    <s v="Fries"/>
    <n v="3.49"/>
    <n v="630.37"/>
    <x v="0"/>
    <s v=" Credit Card"/>
    <s v="Tom Jackson"/>
    <s v="London"/>
    <n v="2199.9913"/>
    <s v="Tom Jackson"/>
  </r>
  <r>
    <x v="108"/>
    <x v="23"/>
    <s v="Beverages"/>
    <n v="2.95"/>
    <n v="677.97"/>
    <x v="0"/>
    <s v=" Credit Card"/>
    <s v="Tom Jackson"/>
    <s v="London"/>
    <n v="2000.0115000000003"/>
    <s v="Tom Jackson"/>
  </r>
  <r>
    <x v="109"/>
    <x v="23"/>
    <s v="Sides &amp; Other"/>
    <n v="4.99"/>
    <n v="200.4"/>
    <x v="0"/>
    <s v=" Credit Card"/>
    <s v="Tom Jackson"/>
    <s v="London"/>
    <n v="999.9960000000001"/>
    <s v="Tom Jackson"/>
  </r>
  <r>
    <x v="110"/>
    <x v="24"/>
    <s v="Burgers"/>
    <n v="12.99"/>
    <n v="492.69"/>
    <x v="0"/>
    <s v=" Credit Card"/>
    <s v="Tom Jackson"/>
    <s v="London"/>
    <n v="6400.0431"/>
    <s v="Tom Jackson"/>
  </r>
  <r>
    <x v="111"/>
    <x v="24"/>
    <s v="Chicken Sandwiches"/>
    <n v="9.95"/>
    <n v="201.01"/>
    <x v="0"/>
    <s v=" Credit Card"/>
    <s v="Tom Jackson"/>
    <s v="London"/>
    <n v="2000.0494999999999"/>
    <s v="Tom Jackson"/>
  </r>
  <r>
    <x v="112"/>
    <x v="24"/>
    <s v="Fries"/>
    <n v="3.49"/>
    <n v="573.07"/>
    <x v="0"/>
    <s v=" Credit Card"/>
    <s v="Remy Monet"/>
    <s v="Paris"/>
    <n v="2000.0143000000003"/>
    <s v="Remy Monet"/>
  </r>
  <r>
    <x v="113"/>
    <x v="24"/>
    <s v="Beverages"/>
    <n v="2.95"/>
    <n v="677.97"/>
    <x v="0"/>
    <s v=" Credit Card"/>
    <s v="Remy Monet"/>
    <s v="Paris"/>
    <n v="2000.0115000000003"/>
    <s v="Remy Monet"/>
  </r>
  <r>
    <x v="114"/>
    <x v="24"/>
    <s v="Sides &amp; Other"/>
    <n v="4.99"/>
    <n v="200.4"/>
    <x v="0"/>
    <s v=" Credit Card"/>
    <s v="Remy Monet"/>
    <s v="Paris"/>
    <n v="999.9960000000001"/>
    <s v="Remy Monet"/>
  </r>
  <r>
    <x v="115"/>
    <x v="25"/>
    <s v="Burgers"/>
    <n v="12.99"/>
    <n v="523.48"/>
    <x v="0"/>
    <s v=" Credit Card"/>
    <s v="Remy Monet"/>
    <s v="Paris"/>
    <n v="6800.0052000000005"/>
    <s v="Remy Monet"/>
  </r>
  <r>
    <x v="116"/>
    <x v="25"/>
    <s v="Chicken Sandwiches"/>
    <n v="9.95"/>
    <n v="201.01"/>
    <x v="0"/>
    <s v=" Credit Card"/>
    <s v="Remy Monet"/>
    <s v="Paris"/>
    <n v="2000.0494999999999"/>
    <s v="Remy Monet"/>
  </r>
  <r>
    <x v="117"/>
    <x v="25"/>
    <s v="Fries"/>
    <n v="3.49"/>
    <n v="630.37"/>
    <x v="0"/>
    <s v=" Credit Card"/>
    <s v="Remy Monet"/>
    <s v="Paris"/>
    <n v="2199.9913"/>
    <s v="Remy Monet"/>
  </r>
  <r>
    <x v="118"/>
    <x v="25"/>
    <s v="Beverages"/>
    <n v="2.95"/>
    <n v="677.97"/>
    <x v="0"/>
    <s v=" Credit Card"/>
    <s v="Remy Monet"/>
    <s v="Paris"/>
    <n v="2000.0115000000003"/>
    <s v="Remy Monet"/>
  </r>
  <r>
    <x v="119"/>
    <x v="25"/>
    <s v="Sides &amp; Other"/>
    <n v="4.99"/>
    <n v="200.4"/>
    <x v="0"/>
    <s v=" Credit Card"/>
    <s v="Remy Monet"/>
    <s v="Paris"/>
    <n v="999.9960000000001"/>
    <s v="Remy Monet"/>
  </r>
  <r>
    <x v="120"/>
    <x v="26"/>
    <s v="Burgers"/>
    <n v="12.99"/>
    <n v="523.48"/>
    <x v="0"/>
    <s v=" Credit Card"/>
    <s v="Remy Monet"/>
    <s v="Paris"/>
    <n v="6800.0052000000005"/>
    <s v="Remy Monet"/>
  </r>
  <r>
    <x v="121"/>
    <x v="26"/>
    <s v="Chicken Sandwiches"/>
    <n v="9.95"/>
    <n v="201.01"/>
    <x v="0"/>
    <s v=" Credit Card"/>
    <s v="Remy Monet"/>
    <s v="Paris"/>
    <n v="2000.0494999999999"/>
    <s v="Remy Monet"/>
  </r>
  <r>
    <x v="122"/>
    <x v="26"/>
    <s v="Fries"/>
    <n v="3.49"/>
    <n v="630.37"/>
    <x v="0"/>
    <s v=" Credit Card"/>
    <s v="Tom Jackson"/>
    <s v="London"/>
    <n v="2199.9913"/>
    <s v="Tom Jackson"/>
  </r>
  <r>
    <x v="123"/>
    <x v="26"/>
    <s v="Beverages"/>
    <n v="2.95"/>
    <n v="677.97"/>
    <x v="0"/>
    <s v=" Credit Card"/>
    <s v="Tom Jackson"/>
    <s v="London"/>
    <n v="2000.0115000000003"/>
    <s v="Tom Jackson"/>
  </r>
  <r>
    <x v="124"/>
    <x v="26"/>
    <s v="Sides &amp; Other"/>
    <n v="4.99"/>
    <n v="200.4"/>
    <x v="0"/>
    <s v=" Credit Card"/>
    <s v="Tom Jackson"/>
    <s v="London"/>
    <n v="999.9960000000001"/>
    <s v="Tom Jackson"/>
  </r>
  <r>
    <x v="125"/>
    <x v="27"/>
    <s v="Burgers"/>
    <n v="12.99"/>
    <n v="538.88"/>
    <x v="0"/>
    <s v=" Credit Card"/>
    <s v="Tom Jackson"/>
    <s v="London"/>
    <n v="7000.0512"/>
    <s v="Tom Jackson"/>
  </r>
  <r>
    <x v="126"/>
    <x v="27"/>
    <s v="Chicken Sandwiches"/>
    <n v="9.95"/>
    <n v="201.01"/>
    <x v="0"/>
    <s v=" Credit Card"/>
    <s v="Tom Jackson"/>
    <s v="London"/>
    <n v="2000.0494999999999"/>
    <s v="Tom Jackson"/>
  </r>
  <r>
    <x v="127"/>
    <x v="17"/>
    <s v="Fries"/>
    <n v="3.49"/>
    <n v="630.37"/>
    <x v="2"/>
    <s v=" Credit Card"/>
    <s v="Pablo Perez"/>
    <s v="Madrid"/>
    <n v="2199.9913"/>
    <s v="Pablo Perez"/>
  </r>
  <r>
    <x v="128"/>
    <x v="17"/>
    <s v="Beverages"/>
    <n v="2.95"/>
    <n v="745.76"/>
    <x v="2"/>
    <s v=" Credit Card"/>
    <s v="Pablo Perez"/>
    <s v="Madrid"/>
    <n v="2199.992"/>
    <s v="Pablo Perez"/>
  </r>
  <r>
    <x v="129"/>
    <x v="17"/>
    <s v="Sides &amp; Other"/>
    <n v="4.99"/>
    <n v="200.4"/>
    <x v="2"/>
    <s v=" Credit Card"/>
    <s v="Pablo Perez"/>
    <s v="Madrid"/>
    <n v="999.9960000000001"/>
    <s v="Pablo Perez"/>
  </r>
  <r>
    <x v="130"/>
    <x v="28"/>
    <s v="Burgers"/>
    <n v="12.99"/>
    <n v="554.27"/>
    <x v="0"/>
    <s v=" Credit Card"/>
    <s v="Tom Jackson"/>
    <s v="London"/>
    <n v="7199.9673"/>
    <s v="Tom Jackson"/>
  </r>
  <r>
    <x v="131"/>
    <x v="28"/>
    <s v="Chicken Sandwiches"/>
    <n v="9.95"/>
    <n v="201.01"/>
    <x v="0"/>
    <s v=" Credit Card"/>
    <s v="Tom Jackson"/>
    <s v="London"/>
    <n v="2000.0494999999999"/>
    <s v="Tom Jackson"/>
  </r>
  <r>
    <x v="132"/>
    <x v="28"/>
    <s v="Fries"/>
    <n v="3.49"/>
    <n v="573.07"/>
    <x v="0"/>
    <s v=" Credit Card"/>
    <s v="Tom Jackson"/>
    <s v="London"/>
    <n v="2000.0143000000003"/>
    <s v="Tom Jackson"/>
  </r>
  <r>
    <x v="133"/>
    <x v="28"/>
    <s v="Beverages"/>
    <n v="2.95"/>
    <n v="677.97"/>
    <x v="0"/>
    <s v=" Credit Card"/>
    <s v="Tom Jackson"/>
    <s v="London"/>
    <n v="2000.0115000000003"/>
    <s v="Tom Jackson"/>
  </r>
  <r>
    <x v="134"/>
    <x v="28"/>
    <s v="Sides &amp; Other"/>
    <n v="4.99"/>
    <n v="200.4"/>
    <x v="0"/>
    <s v=" Credit Card"/>
    <s v="Tom Jackson"/>
    <s v="London"/>
    <n v="999.9960000000001"/>
    <s v="Tom Jackson"/>
  </r>
  <r>
    <x v="135"/>
    <x v="29"/>
    <s v="Burgers"/>
    <n v="12.99"/>
    <n v="538.88"/>
    <x v="0"/>
    <s v=" Credit Card"/>
    <s v="Tom Jackson"/>
    <s v="London"/>
    <n v="7000.0512"/>
    <s v="Tom Jackson"/>
  </r>
  <r>
    <x v="136"/>
    <x v="29"/>
    <s v="Chicken Sandwiches"/>
    <n v="9.95"/>
    <n v="201.01"/>
    <x v="0"/>
    <s v=" Credit Card"/>
    <s v="Tom Jackson"/>
    <s v="London"/>
    <n v="2000.0494999999999"/>
    <s v="Tom Jackson"/>
  </r>
  <r>
    <x v="137"/>
    <x v="29"/>
    <s v="Fries"/>
    <n v="3.49"/>
    <n v="573.07"/>
    <x v="0"/>
    <s v=" Credit Card"/>
    <s v="Tom Jackson"/>
    <s v="London"/>
    <n v="2000.0143000000003"/>
    <s v="Tom Jackson"/>
  </r>
  <r>
    <x v="138"/>
    <x v="29"/>
    <s v="Beverages"/>
    <n v="2.95"/>
    <n v="677.97"/>
    <x v="0"/>
    <s v=" Credit Card"/>
    <s v="Tom Jackson"/>
    <s v="London"/>
    <n v="2000.0115000000003"/>
    <s v="Tom Jackson"/>
  </r>
  <r>
    <x v="139"/>
    <x v="29"/>
    <s v="Sides &amp; Other"/>
    <n v="4.99"/>
    <n v="200.4"/>
    <x v="0"/>
    <s v=" Credit Card"/>
    <s v="Tom Jackson"/>
    <s v="London"/>
    <n v="999.9960000000001"/>
    <s v="Tom Jackson"/>
  </r>
  <r>
    <x v="140"/>
    <x v="30"/>
    <s v="Burgers"/>
    <n v="12.99"/>
    <n v="523.48"/>
    <x v="0"/>
    <s v=" Credit Card"/>
    <s v="Tom Jackson"/>
    <s v="London"/>
    <n v="6800.0052000000005"/>
    <s v="Tom Jackson"/>
  </r>
  <r>
    <x v="141"/>
    <x v="30"/>
    <s v="Chicken Sandwiches"/>
    <n v="9.95"/>
    <n v="201.01"/>
    <x v="0"/>
    <s v=" Credit Card"/>
    <s v="Tom Jackson"/>
    <s v="London"/>
    <n v="2000.0494999999999"/>
    <s v="Tom Jackson"/>
  </r>
  <r>
    <x v="142"/>
    <x v="30"/>
    <s v="Fries"/>
    <n v="3.49"/>
    <n v="630.37"/>
    <x v="0"/>
    <s v=" Cash"/>
    <s v="Tom Jackson"/>
    <s v="London"/>
    <n v="2199.9913"/>
    <s v="Tom Jackson"/>
  </r>
  <r>
    <x v="143"/>
    <x v="30"/>
    <s v="Beverages"/>
    <n v="2.95"/>
    <n v="677.97"/>
    <x v="0"/>
    <s v=" Cash"/>
    <s v="Tom Jackson"/>
    <s v="London"/>
    <n v="2000.0115000000003"/>
    <s v="Tom Jackson"/>
  </r>
  <r>
    <x v="144"/>
    <x v="30"/>
    <s v="Sides &amp; Other"/>
    <n v="4.99"/>
    <n v="200.4"/>
    <x v="0"/>
    <s v=" Cash"/>
    <s v="Tom Jackson"/>
    <s v="London"/>
    <n v="999.9960000000001"/>
    <s v="Tom Jackson"/>
  </r>
  <r>
    <x v="145"/>
    <x v="31"/>
    <s v="Burgers"/>
    <n v="12.99"/>
    <n v="538.88"/>
    <x v="0"/>
    <s v=" Cash"/>
    <s v="Tom Jackson"/>
    <s v="London"/>
    <n v="7000.0512"/>
    <s v="Tom Jackson"/>
  </r>
  <r>
    <x v="146"/>
    <x v="31"/>
    <s v="Chicken Sandwiches"/>
    <n v="9.95"/>
    <n v="201.01"/>
    <x v="0"/>
    <s v=" Cash"/>
    <s v="Tom Jackson"/>
    <s v="London"/>
    <n v="2000.0494999999999"/>
    <s v="Tom Jackson"/>
  </r>
  <r>
    <x v="147"/>
    <x v="31"/>
    <s v="Fries"/>
    <n v="3.49"/>
    <n v="630.37"/>
    <x v="0"/>
    <s v=" Cash"/>
    <s v="Tom Jackson"/>
    <s v="London"/>
    <n v="2199.9913"/>
    <s v="Tom Jackson"/>
  </r>
  <r>
    <x v="148"/>
    <x v="31"/>
    <s v="Beverages"/>
    <n v="2.95"/>
    <n v="677.97"/>
    <x v="0"/>
    <s v=" Gift Card"/>
    <s v="Tom Jackson"/>
    <s v="London"/>
    <n v="2000.0115000000003"/>
    <s v="Tom Jackson"/>
  </r>
  <r>
    <x v="149"/>
    <x v="31"/>
    <s v="Sides &amp; Other"/>
    <n v="4.99"/>
    <n v="200.4"/>
    <x v="0"/>
    <s v=" Gift Card"/>
    <s v="Tom Jackson"/>
    <s v="London"/>
    <n v="999.9960000000001"/>
    <s v="Tom Jackson"/>
  </r>
  <r>
    <x v="150"/>
    <x v="32"/>
    <s v="Burgers"/>
    <n v="12.99"/>
    <n v="569.67"/>
    <x v="0"/>
    <s v=" Gift Card"/>
    <s v="Tom Jackson"/>
    <s v="London"/>
    <n v="7400.0133"/>
    <s v="Tom Jackson"/>
  </r>
  <r>
    <x v="151"/>
    <x v="32"/>
    <s v="Chicken Sandwiches"/>
    <n v="9.95"/>
    <n v="201.01"/>
    <x v="0"/>
    <s v=" Gift Card"/>
    <s v="Tom Jackson"/>
    <s v="London"/>
    <n v="2000.0494999999999"/>
    <s v="Tom Jackson"/>
  </r>
  <r>
    <x v="152"/>
    <x v="32"/>
    <s v="Fries"/>
    <n v="3.49"/>
    <n v="630.37"/>
    <x v="0"/>
    <s v=" Gift Card"/>
    <s v="Tom Jackson"/>
    <s v="London"/>
    <n v="2199.9913"/>
    <s v="Tom Jackson"/>
  </r>
  <r>
    <x v="153"/>
    <x v="32"/>
    <s v="Beverages"/>
    <n v="2.95"/>
    <n v="677.97"/>
    <x v="0"/>
    <s v=" Gift Card"/>
    <s v="Tom Jackson"/>
    <s v="London"/>
    <n v="2000.0115000000003"/>
    <s v="Tom Jackson"/>
  </r>
  <r>
    <x v="154"/>
    <x v="32"/>
    <s v="Sides &amp; Other"/>
    <n v="4.99"/>
    <n v="200.4"/>
    <x v="0"/>
    <s v=" Gift Card"/>
    <s v="Tom Jackson"/>
    <s v="London"/>
    <n v="999.9960000000001"/>
    <s v="Tom Jackson"/>
  </r>
  <r>
    <x v="155"/>
    <x v="33"/>
    <s v="Burgers"/>
    <n v="12.99"/>
    <n v="569.67"/>
    <x v="0"/>
    <s v=" Gift Card"/>
    <s v="Tom Jackson"/>
    <s v="London"/>
    <n v="7400.0133"/>
    <s v="Tom Jackson"/>
  </r>
  <r>
    <x v="156"/>
    <x v="33"/>
    <s v="Chicken Sandwiches"/>
    <n v="9.95"/>
    <n v="201.01"/>
    <x v="0"/>
    <s v=" Gift Card"/>
    <s v="Tom Jackson"/>
    <s v="London"/>
    <n v="2000.0494999999999"/>
    <s v="Tom Jackson"/>
  </r>
  <r>
    <x v="157"/>
    <x v="33"/>
    <s v="Fries"/>
    <n v="3.49"/>
    <n v="630.37"/>
    <x v="0"/>
    <s v=" Gift Card"/>
    <s v="Tom Jackson"/>
    <s v="London"/>
    <n v="2199.9913"/>
    <s v="Tom Jackson"/>
  </r>
  <r>
    <x v="158"/>
    <x v="33"/>
    <s v="Beverages"/>
    <n v="2.95"/>
    <n v="677.97"/>
    <x v="0"/>
    <s v=" Gift Card"/>
    <s v="Tom Jackson"/>
    <s v="London"/>
    <n v="2000.0115000000003"/>
    <s v="Tom Jackson"/>
  </r>
  <r>
    <x v="159"/>
    <x v="33"/>
    <s v="Sides &amp; Other"/>
    <n v="4.99"/>
    <n v="200.4"/>
    <x v="0"/>
    <s v=" Gift Card"/>
    <s v="Tom Jackson"/>
    <s v="London"/>
    <n v="999.9960000000001"/>
    <s v="Tom Jackson"/>
  </r>
  <r>
    <x v="160"/>
    <x v="34"/>
    <s v="Burgers"/>
    <n v="12.99"/>
    <n v="585.07"/>
    <x v="0"/>
    <s v=" Gift Card"/>
    <s v="Tom Jackson"/>
    <s v="London"/>
    <n v="7600.059300000001"/>
    <s v="Tom Jackson"/>
  </r>
  <r>
    <x v="161"/>
    <x v="34"/>
    <s v="Chicken Sandwiches"/>
    <n v="9.95"/>
    <n v="201.01"/>
    <x v="0"/>
    <s v=" Gift Card"/>
    <s v="Tom Jackson"/>
    <s v="London"/>
    <n v="2000.0494999999999"/>
    <s v="Tom Jackson"/>
  </r>
  <r>
    <x v="162"/>
    <x v="34"/>
    <s v="Fries"/>
    <n v="3.49"/>
    <n v="630.37"/>
    <x v="0"/>
    <s v=" Gift Card"/>
    <s v="Tom Jackson"/>
    <s v="London"/>
    <n v="2199.9913"/>
    <s v="Tom Jackson"/>
  </r>
  <r>
    <x v="163"/>
    <x v="34"/>
    <s v="Beverages"/>
    <n v="2.95"/>
    <n v="745.76"/>
    <x v="0"/>
    <s v=" Gift Card"/>
    <s v="Tom Jackson"/>
    <s v="London"/>
    <n v="2199.992"/>
    <s v="Tom Jackson"/>
  </r>
  <r>
    <x v="164"/>
    <x v="34"/>
    <s v="Sides &amp; Other"/>
    <n v="4.99"/>
    <n v="200.4"/>
    <x v="0"/>
    <s v=" Gift Card"/>
    <s v="Tom Jackson"/>
    <s v="London"/>
    <n v="999.9960000000001"/>
    <s v="Tom Jackson"/>
  </r>
  <r>
    <x v="165"/>
    <x v="35"/>
    <s v="Burgers"/>
    <n v="12.99"/>
    <n v="569.67"/>
    <x v="0"/>
    <s v=" Gift Card"/>
    <s v="Tom Jackson"/>
    <s v="London"/>
    <n v="7400.0133"/>
    <s v="Tom Jackson"/>
  </r>
  <r>
    <x v="166"/>
    <x v="35"/>
    <s v="Chicken Sandwiches"/>
    <n v="9.95"/>
    <n v="201.01"/>
    <x v="0"/>
    <s v=" Gift Card"/>
    <s v="Tom Jackson"/>
    <s v="London"/>
    <n v="2000.0494999999999"/>
    <s v="Tom Jackson"/>
  </r>
  <r>
    <x v="167"/>
    <x v="35"/>
    <s v="Fries"/>
    <n v="3.49"/>
    <n v="630.37"/>
    <x v="0"/>
    <s v=" Gift Card"/>
    <s v="Tom Jackson"/>
    <s v="London"/>
    <n v="2199.9913"/>
    <s v="Tom Jackson"/>
  </r>
  <r>
    <x v="168"/>
    <x v="35"/>
    <s v="Beverages"/>
    <n v="2.95"/>
    <n v="677.97"/>
    <x v="0"/>
    <s v=" Gift Card"/>
    <s v="Joao Silva"/>
    <s v="Lisbon"/>
    <n v="2000.0115000000003"/>
    <s v="Joao Silva"/>
  </r>
  <r>
    <x v="169"/>
    <x v="35"/>
    <s v="Sides &amp; Other"/>
    <n v="4.99"/>
    <n v="200.4"/>
    <x v="0"/>
    <s v=" Gift Card"/>
    <s v="Joao Silva"/>
    <s v="Lisbon"/>
    <n v="999.9960000000001"/>
    <s v="Joao Silva"/>
  </r>
  <r>
    <x v="170"/>
    <x v="36"/>
    <s v="Burgers"/>
    <n v="12.99"/>
    <n v="569.67"/>
    <x v="0"/>
    <s v=" Cash"/>
    <s v="Joao Silva"/>
    <s v="Lisbon"/>
    <n v="7400.0133"/>
    <s v="Joao Silva"/>
  </r>
  <r>
    <x v="171"/>
    <x v="36"/>
    <s v="Chicken Sandwiches"/>
    <n v="9.95"/>
    <n v="201.01"/>
    <x v="0"/>
    <s v=" Gift Card"/>
    <s v="Joao Silva"/>
    <s v="Lisbon"/>
    <n v="2000.0494999999999"/>
    <s v="Joao Silva"/>
  </r>
  <r>
    <x v="172"/>
    <x v="36"/>
    <s v="Fries"/>
    <n v="3.49"/>
    <n v="630.37"/>
    <x v="0"/>
    <s v=" Gift Card"/>
    <s v="Joao Silva"/>
    <s v="Lisbon"/>
    <n v="2199.9913"/>
    <s v="Joao Silva"/>
  </r>
  <r>
    <x v="173"/>
    <x v="36"/>
    <s v="Beverages"/>
    <n v="2.95"/>
    <n v="677.97"/>
    <x v="0"/>
    <s v=" Gift Card"/>
    <s v="Joao Silva"/>
    <s v="Lisbon"/>
    <n v="2000.0115000000003"/>
    <s v="Joao Silva"/>
  </r>
  <r>
    <x v="174"/>
    <x v="36"/>
    <s v="Sides &amp; Other"/>
    <n v="4.99"/>
    <n v="200.4"/>
    <x v="0"/>
    <s v=" Gift Card"/>
    <s v="Joao Silva"/>
    <s v="Lisbon"/>
    <n v="999.9960000000001"/>
    <s v="Joao Silva"/>
  </r>
  <r>
    <x v="175"/>
    <x v="37"/>
    <s v="Burgers"/>
    <n v="12.99"/>
    <n v="554.27"/>
    <x v="0"/>
    <s v=" Gift Card"/>
    <s v="Joao Silva"/>
    <s v="Lisbon"/>
    <n v="7199.9673"/>
    <s v="Joao Silva"/>
  </r>
  <r>
    <x v="176"/>
    <x v="37"/>
    <s v="Chicken Sandwiches"/>
    <n v="9.95"/>
    <n v="221.11"/>
    <x v="0"/>
    <s v=" Gift Card"/>
    <s v="Joao Silva"/>
    <s v="Lisbon"/>
    <n v="2200.0445"/>
    <s v="Joao Silva"/>
  </r>
  <r>
    <x v="177"/>
    <x v="37"/>
    <s v="Fries"/>
    <n v="3.49"/>
    <n v="630.37"/>
    <x v="0"/>
    <s v=" Gift Card"/>
    <s v="Joao Silva"/>
    <s v="Lisbon"/>
    <n v="2199.9913"/>
    <s v="Joao Silva"/>
  </r>
  <r>
    <x v="178"/>
    <x v="37"/>
    <s v="Beverages"/>
    <n v="2.95"/>
    <n v="677.97"/>
    <x v="0"/>
    <s v=" Gift Card"/>
    <s v="Joao Silva"/>
    <s v="Lisbon"/>
    <n v="2000.0115000000003"/>
    <s v="Joao Silva"/>
  </r>
  <r>
    <x v="179"/>
    <x v="37"/>
    <s v="Sides &amp; Other"/>
    <n v="4.99"/>
    <n v="200.4"/>
    <x v="0"/>
    <s v=" Gift Card"/>
    <s v="Joao Silva"/>
    <s v="Lisbon"/>
    <n v="999.9960000000001"/>
    <s v="Joao Silva"/>
  </r>
  <r>
    <x v="180"/>
    <x v="38"/>
    <s v="Burgers"/>
    <n v="12.99"/>
    <n v="538.88"/>
    <x v="0"/>
    <s v=" Gift Card"/>
    <s v="Joao Silva"/>
    <s v="Lisbon"/>
    <n v="7000.0512"/>
    <s v="Joao Silva"/>
  </r>
  <r>
    <x v="181"/>
    <x v="38"/>
    <s v="Chicken Sandwiches"/>
    <n v="9.95"/>
    <n v="221.11"/>
    <x v="0"/>
    <s v=" Gift Card"/>
    <s v="Joao Silva"/>
    <s v="Lisbon"/>
    <n v="2200.0445"/>
    <s v="Joao Silva"/>
  </r>
  <r>
    <x v="182"/>
    <x v="38"/>
    <s v="Fries"/>
    <n v="3.49"/>
    <n v="630.37"/>
    <x v="0"/>
    <s v=" Cash"/>
    <s v="Joao Silva"/>
    <s v="Lisbon"/>
    <n v="2199.9913"/>
    <s v="Joao Silva"/>
  </r>
  <r>
    <x v="183"/>
    <x v="38"/>
    <s v="Beverages"/>
    <n v="2.95"/>
    <n v="677.97"/>
    <x v="0"/>
    <s v=" Cash"/>
    <s v="Joao Silva"/>
    <s v="Lisbon"/>
    <n v="2000.0115000000003"/>
    <s v="Joao Silva"/>
  </r>
  <r>
    <x v="184"/>
    <x v="38"/>
    <s v="Sides &amp; Other"/>
    <n v="4.99"/>
    <n v="200.4"/>
    <x v="0"/>
    <s v=" Cash"/>
    <s v="Joao Silva"/>
    <s v="Lisbon"/>
    <n v="999.9960000000001"/>
    <s v="Joao Silva"/>
  </r>
  <r>
    <x v="185"/>
    <x v="39"/>
    <s v="Burgers"/>
    <n v="12.99"/>
    <n v="569.67"/>
    <x v="0"/>
    <s v=" Cash"/>
    <s v="Joao Silva"/>
    <s v="Lisbon"/>
    <n v="7400.0133"/>
    <s v="Joao Silva"/>
  </r>
  <r>
    <x v="186"/>
    <x v="39"/>
    <s v="Chicken Sandwiches"/>
    <n v="9.95"/>
    <n v="221.11"/>
    <x v="0"/>
    <s v=" Cash"/>
    <s v="Joao Silva"/>
    <s v="Lisbon"/>
    <n v="2200.0445"/>
    <s v="Joao Silva"/>
  </r>
  <r>
    <x v="187"/>
    <x v="39"/>
    <s v="Fries"/>
    <n v="3.49"/>
    <n v="630.37"/>
    <x v="0"/>
    <s v=" Gift Card"/>
    <s v="Joao Silva"/>
    <s v="Lisbon"/>
    <n v="2199.9913"/>
    <s v="Joao Silva"/>
  </r>
  <r>
    <x v="188"/>
    <x v="39"/>
    <s v="Beverages"/>
    <n v="2.95"/>
    <n v="745.76"/>
    <x v="0"/>
    <s v=" Gift Card"/>
    <s v="Joao Silva"/>
    <s v="Lisbon"/>
    <n v="2199.992"/>
    <s v="Joao Silva"/>
  </r>
  <r>
    <x v="189"/>
    <x v="39"/>
    <s v="Sides &amp; Other"/>
    <n v="4.99"/>
    <n v="200.4"/>
    <x v="0"/>
    <s v=" Gift Card"/>
    <s v="Joao Silva"/>
    <s v="Lisbon"/>
    <n v="999.9960000000001"/>
    <s v="Joao Silva"/>
  </r>
  <r>
    <x v="190"/>
    <x v="40"/>
    <s v="Burgers"/>
    <n v="12.99"/>
    <n v="585.07"/>
    <x v="0"/>
    <s v=" Gift Card"/>
    <s v="Joao Silva"/>
    <s v="Lisbon"/>
    <n v="7600.059300000001"/>
    <s v="Joao Silva"/>
  </r>
  <r>
    <x v="191"/>
    <x v="40"/>
    <s v="Chicken Sandwiches"/>
    <n v="9.95"/>
    <n v="221.11"/>
    <x v="0"/>
    <s v=" Gift Card"/>
    <s v="Joao Silva"/>
    <s v="Lisbon"/>
    <n v="2200.0445"/>
    <s v="Joao Silva"/>
  </r>
  <r>
    <x v="192"/>
    <x v="40"/>
    <s v="Fries"/>
    <n v="3.49"/>
    <n v="687.68"/>
    <x v="0"/>
    <s v=" Gift Card"/>
    <s v="Joao Silva"/>
    <s v="Lisbon"/>
    <n v="2400.0032"/>
    <s v="Joao Silva"/>
  </r>
  <r>
    <x v="193"/>
    <x v="40"/>
    <s v="Beverages"/>
    <n v="2.95"/>
    <n v="745.76"/>
    <x v="0"/>
    <s v=" Gift Card"/>
    <s v="Joao Silva"/>
    <s v="Lisbon"/>
    <n v="2199.992"/>
    <s v="Joao Silva"/>
  </r>
  <r>
    <x v="194"/>
    <x v="40"/>
    <s v="Sides &amp; Other"/>
    <n v="4.99"/>
    <n v="200.4"/>
    <x v="0"/>
    <s v=" Gift Card"/>
    <s v="Joao Silva"/>
    <s v="Lisbon"/>
    <n v="999.9960000000001"/>
    <s v="Joao Silva"/>
  </r>
  <r>
    <x v="195"/>
    <x v="41"/>
    <s v="Burgers"/>
    <n v="12.99"/>
    <n v="600.46"/>
    <x v="0"/>
    <s v=" Gift Card"/>
    <s v="Joao Silva"/>
    <s v="Lisbon"/>
    <n v="7799.9754"/>
    <s v="Joao Silva"/>
  </r>
  <r>
    <x v="196"/>
    <x v="41"/>
    <s v="Chicken Sandwiches"/>
    <n v="9.95"/>
    <n v="221.11"/>
    <x v="0"/>
    <s v=" Gift Card"/>
    <s v="Joao Silva"/>
    <s v="Lisbon"/>
    <n v="2200.0445"/>
    <s v="Joao Silva"/>
  </r>
  <r>
    <x v="197"/>
    <x v="41"/>
    <s v="Fries"/>
    <n v="3.49"/>
    <n v="687.68"/>
    <x v="0"/>
    <s v=" Gift Card"/>
    <s v="Joao Silva"/>
    <s v="Lisbon"/>
    <n v="2400.0032"/>
    <s v="Joao Silva"/>
  </r>
  <r>
    <x v="198"/>
    <x v="41"/>
    <s v="Beverages"/>
    <n v="2.95"/>
    <n v="745.76"/>
    <x v="0"/>
    <s v=" Cash"/>
    <s v="Joao Silva"/>
    <s v="Lisbon"/>
    <n v="2199.992"/>
    <s v="Joao Silva"/>
  </r>
  <r>
    <x v="199"/>
    <x v="41"/>
    <s v="Sides &amp; Other"/>
    <n v="4.99"/>
    <n v="200.4"/>
    <x v="0"/>
    <s v=" Cash"/>
    <s v="Joao Silva"/>
    <s v="Lisbon"/>
    <n v="999.9960000000001"/>
    <s v="Joao Silva"/>
  </r>
  <r>
    <x v="200"/>
    <x v="42"/>
    <s v="Burgers"/>
    <n v="12.99"/>
    <n v="631.25"/>
    <x v="1"/>
    <s v=" Cash"/>
    <s v="Joao Silva"/>
    <s v="Lisbon"/>
    <n v="8199.9375"/>
    <s v="Joao Silva"/>
  </r>
  <r>
    <x v="201"/>
    <x v="42"/>
    <s v="Chicken Sandwiches"/>
    <n v="9.95"/>
    <n v="221.11"/>
    <x v="1"/>
    <s v=" Cash"/>
    <s v="Joao Silva"/>
    <s v="Lisbon"/>
    <n v="2200.0445"/>
    <s v="Joao Silva"/>
  </r>
  <r>
    <x v="202"/>
    <x v="42"/>
    <s v="Fries"/>
    <n v="3.49"/>
    <n v="630.37"/>
    <x v="1"/>
    <s v=" Cash"/>
    <s v="Joao Silva"/>
    <s v="Lisbon"/>
    <n v="2199.9913"/>
    <s v="Joao Silva"/>
  </r>
  <r>
    <x v="203"/>
    <x v="42"/>
    <s v="Beverages"/>
    <n v="2.95"/>
    <n v="745.76"/>
    <x v="1"/>
    <s v=" Cash"/>
    <s v="Joao Silva"/>
    <s v="Lisbon"/>
    <n v="2199.992"/>
    <s v="Joao Silva"/>
  </r>
  <r>
    <x v="204"/>
    <x v="42"/>
    <s v="Sides &amp; Other"/>
    <n v="4.99"/>
    <n v="200.4"/>
    <x v="1"/>
    <s v=" Cash"/>
    <s v="Joao Silva"/>
    <s v="Lisbon"/>
    <n v="999.9960000000001"/>
    <s v="Joao Silva"/>
  </r>
  <r>
    <x v="205"/>
    <x v="43"/>
    <s v="Burgers"/>
    <n v="12.99"/>
    <n v="646.65"/>
    <x v="1"/>
    <s v=" Cash"/>
    <s v="Joao Silva"/>
    <s v="Lisbon"/>
    <n v="8399.9835"/>
    <s v="Joao Silva"/>
  </r>
  <r>
    <x v="206"/>
    <x v="43"/>
    <s v="Chicken Sandwiches"/>
    <n v="9.95"/>
    <n v="221.11"/>
    <x v="1"/>
    <s v=" Cash"/>
    <s v="Joao Silva"/>
    <s v="Lisbon"/>
    <n v="2200.0445"/>
    <s v="Joao Silva"/>
  </r>
  <r>
    <x v="207"/>
    <x v="43"/>
    <s v="Fries"/>
    <n v="3.49"/>
    <n v="630.37"/>
    <x v="1"/>
    <s v=" Cash"/>
    <s v="Joao Silva"/>
    <s v="Lisbon"/>
    <n v="2199.9913"/>
    <s v="Joao Silva"/>
  </r>
  <r>
    <x v="208"/>
    <x v="43"/>
    <s v="Beverages"/>
    <n v="2.95"/>
    <n v="745.76"/>
    <x v="1"/>
    <s v=" Cash"/>
    <s v="Joao Silva"/>
    <s v="Lisbon"/>
    <n v="2199.992"/>
    <s v="Joao Silva"/>
  </r>
  <r>
    <x v="209"/>
    <x v="43"/>
    <s v="Sides &amp; Other"/>
    <n v="4.99"/>
    <n v="200.4"/>
    <x v="1"/>
    <s v=" Cash"/>
    <s v="Joao Silva"/>
    <s v="Lisbon"/>
    <n v="999.9960000000001"/>
    <s v="Joao Silva"/>
  </r>
  <r>
    <x v="210"/>
    <x v="44"/>
    <s v="Burgers"/>
    <n v="12.99"/>
    <n v="677.44"/>
    <x v="1"/>
    <s v=" Cash"/>
    <s v="Joao Silva"/>
    <s v="Lisbon"/>
    <n v="8799.945600000001"/>
    <s v="Joao Silva"/>
  </r>
  <r>
    <x v="211"/>
    <x v="44"/>
    <s v="Chicken Sandwiches"/>
    <n v="9.95"/>
    <n v="221.11"/>
    <x v="1"/>
    <s v=" Cash"/>
    <s v="Joao Silva"/>
    <s v="Lisbon"/>
    <n v="2200.0445"/>
    <s v="Joao Silva"/>
  </r>
  <r>
    <x v="212"/>
    <x v="44"/>
    <s v="Fries"/>
    <n v="3.49"/>
    <n v="630.37"/>
    <x v="1"/>
    <s v=" Cash"/>
    <s v="Joao Silva"/>
    <s v="Lisbon"/>
    <n v="2199.9913"/>
    <s v="Joao Silva"/>
  </r>
  <r>
    <x v="213"/>
    <x v="44"/>
    <s v="Beverages"/>
    <n v="2.95"/>
    <n v="745.76"/>
    <x v="1"/>
    <s v=" Cash"/>
    <s v="Joao Silva"/>
    <s v="Lisbon"/>
    <n v="2199.992"/>
    <s v="Joao Silva"/>
  </r>
  <r>
    <x v="214"/>
    <x v="44"/>
    <s v="Sides &amp; Other"/>
    <n v="4.99"/>
    <n v="200.4"/>
    <x v="1"/>
    <s v=" Cash"/>
    <s v="Joao Silva"/>
    <s v="Lisbon"/>
    <n v="999.9960000000001"/>
    <s v="Joao Silva"/>
  </r>
  <r>
    <x v="215"/>
    <x v="45"/>
    <s v="Burgers"/>
    <n v="12.99"/>
    <n v="677.44"/>
    <x v="1"/>
    <s v=" Cash"/>
    <s v="Joao Silva"/>
    <s v="Lisbon"/>
    <n v="8799.945600000001"/>
    <s v="Joao Silva"/>
  </r>
  <r>
    <x v="216"/>
    <x v="45"/>
    <s v="Chicken Sandwiches"/>
    <n v="9.95"/>
    <n v="241.21"/>
    <x v="1"/>
    <s v=" Cash"/>
    <s v="Joao Silva"/>
    <s v="Lisbon"/>
    <n v="2400.0395"/>
    <s v="Joao Silva"/>
  </r>
  <r>
    <x v="217"/>
    <x v="45"/>
    <s v="Fries"/>
    <n v="3.49"/>
    <n v="630.37"/>
    <x v="1"/>
    <s v=" Cash"/>
    <s v="Joao Silva"/>
    <s v="Lisbon"/>
    <n v="2199.9913"/>
    <s v="Joao Silva"/>
  </r>
  <r>
    <x v="218"/>
    <x v="45"/>
    <s v="Beverages"/>
    <n v="2.95"/>
    <n v="745.76"/>
    <x v="1"/>
    <s v=" Cash"/>
    <s v="Joao Silva"/>
    <s v="Lisbon"/>
    <n v="2199.992"/>
    <s v="Joao Silva"/>
  </r>
  <r>
    <x v="219"/>
    <x v="45"/>
    <s v="Sides &amp; Other"/>
    <n v="4.99"/>
    <n v="200.4"/>
    <x v="1"/>
    <s v=" Cash"/>
    <s v="Joao Silva"/>
    <s v="Lisbon"/>
    <n v="999.9960000000001"/>
    <s v="Joao Silva"/>
  </r>
  <r>
    <x v="220"/>
    <x v="46"/>
    <s v="Burgers"/>
    <n v="12.99"/>
    <n v="646.65"/>
    <x v="1"/>
    <s v=" Cash"/>
    <s v="Joao Silva"/>
    <s v="Lisbon"/>
    <n v="8399.9835"/>
    <s v="Joao Silva"/>
  </r>
  <r>
    <x v="221"/>
    <x v="46"/>
    <s v="Chicken Sandwiches"/>
    <n v="9.95"/>
    <n v="241.21"/>
    <x v="1"/>
    <s v=" Cash"/>
    <s v="Joao Silva"/>
    <s v="Lisbon"/>
    <n v="2400.0395"/>
    <s v="Joao Silva"/>
  </r>
  <r>
    <x v="222"/>
    <x v="46"/>
    <s v="Fries"/>
    <n v="3.49"/>
    <n v="630.37"/>
    <x v="1"/>
    <s v=" Cash"/>
    <s v="Joao Silva"/>
    <s v="Lisbon"/>
    <n v="2199.9913"/>
    <s v="Joao Silva"/>
  </r>
  <r>
    <x v="223"/>
    <x v="46"/>
    <s v="Beverages"/>
    <n v="2.95"/>
    <n v="677.97"/>
    <x v="1"/>
    <s v=" Cash"/>
    <s v="Joao Silva"/>
    <s v="Lisbon"/>
    <n v="2000.0115000000003"/>
    <s v="Joao Silva"/>
  </r>
  <r>
    <x v="224"/>
    <x v="46"/>
    <s v="Sides &amp; Other"/>
    <n v="4.99"/>
    <n v="200.4"/>
    <x v="1"/>
    <s v=" Cash"/>
    <s v="Joao Silva"/>
    <s v="Lisbon"/>
    <n v="999.9960000000001"/>
    <s v="Joao Silva"/>
  </r>
  <r>
    <x v="225"/>
    <x v="47"/>
    <s v="Burgers"/>
    <n v="12.99"/>
    <n v="677.44"/>
    <x v="1"/>
    <s v=" Cash"/>
    <s v="Joao Silva"/>
    <s v="Lisbon"/>
    <n v="8799.945600000001"/>
    <s v="Joao Silva"/>
  </r>
  <r>
    <x v="226"/>
    <x v="47"/>
    <s v="Chicken Sandwiches"/>
    <n v="9.95"/>
    <n v="241.21"/>
    <x v="1"/>
    <s v=" Cash"/>
    <s v="Joao Silva"/>
    <s v="Lisbon"/>
    <n v="2400.0395"/>
    <s v="Joao Silva"/>
  </r>
  <r>
    <x v="227"/>
    <x v="47"/>
    <s v="Fries"/>
    <n v="3.49"/>
    <n v="630.37"/>
    <x v="1"/>
    <s v=" Cash"/>
    <s v="Walter Muller"/>
    <s v="Berlin"/>
    <n v="2199.9913"/>
    <s v="Walter Muller"/>
  </r>
  <r>
    <x v="228"/>
    <x v="47"/>
    <s v="Beverages"/>
    <n v="2.95"/>
    <n v="677.97"/>
    <x v="1"/>
    <s v=" Cash"/>
    <s v="Walter Muller"/>
    <s v="Berlin"/>
    <n v="2000.0115000000003"/>
    <s v="Walter Muller"/>
  </r>
  <r>
    <x v="229"/>
    <x v="47"/>
    <s v="Sides &amp; Other"/>
    <n v="4.99"/>
    <n v="200.4"/>
    <x v="1"/>
    <s v=" Cash"/>
    <s v="Walter Muller"/>
    <s v="Berlin"/>
    <n v="999.9960000000001"/>
    <s v="Walter Muller"/>
  </r>
  <r>
    <x v="230"/>
    <x v="48"/>
    <s v="Burgers"/>
    <n v="12.99"/>
    <n v="677.44"/>
    <x v="1"/>
    <s v=" Cash"/>
    <s v="Walter Muller"/>
    <s v="Berlin"/>
    <n v="8799.945600000001"/>
    <s v="Walter Muller"/>
  </r>
  <r>
    <x v="231"/>
    <x v="48"/>
    <s v="Chicken Sandwiches"/>
    <n v="9.95"/>
    <n v="261.31"/>
    <x v="1"/>
    <s v=" Cash"/>
    <s v="Walter Muller"/>
    <s v="Berlin"/>
    <n v="2600.0344999999998"/>
    <s v="Walter Muller"/>
  </r>
  <r>
    <x v="232"/>
    <x v="48"/>
    <s v="Fries"/>
    <n v="3.49"/>
    <n v="630.37"/>
    <x v="1"/>
    <s v=" Cash"/>
    <s v="Walter Muller"/>
    <s v="Berlin"/>
    <n v="2199.9913"/>
    <s v="Walter Muller"/>
  </r>
  <r>
    <x v="233"/>
    <x v="48"/>
    <s v="Beverages"/>
    <n v="2.95"/>
    <n v="677.97"/>
    <x v="1"/>
    <s v=" Cash"/>
    <s v="Walter Muller"/>
    <s v="Berlin"/>
    <n v="2000.0115000000003"/>
    <s v="Walter Muller"/>
  </r>
  <r>
    <x v="234"/>
    <x v="48"/>
    <s v="Sides &amp; Other"/>
    <n v="4.99"/>
    <n v="200.4"/>
    <x v="1"/>
    <s v=" Cash"/>
    <s v="Walter Muller"/>
    <s v="Berlin"/>
    <n v="999.9960000000001"/>
    <s v="Walter Muller"/>
  </r>
  <r>
    <x v="235"/>
    <x v="49"/>
    <s v="Burgers"/>
    <n v="12.99"/>
    <n v="692.84"/>
    <x v="1"/>
    <s v=" Cash"/>
    <s v="Walter Muller"/>
    <s v="Berlin"/>
    <n v="8999.991600000001"/>
    <s v="Walter Muller"/>
  </r>
  <r>
    <x v="236"/>
    <x v="49"/>
    <s v="Chicken Sandwiches"/>
    <n v="9.95"/>
    <n v="281.41"/>
    <x v="1"/>
    <s v=" Cash"/>
    <s v="Walter Muller"/>
    <s v="Berlin"/>
    <n v="2800.0295"/>
    <s v="Walter Muller"/>
  </r>
  <r>
    <x v="237"/>
    <x v="49"/>
    <s v="Fries"/>
    <n v="3.49"/>
    <n v="630.37"/>
    <x v="1"/>
    <s v=" Cash"/>
    <s v="Walter Muller"/>
    <s v="Berlin"/>
    <n v="2199.9913"/>
    <s v="Walter Muller"/>
  </r>
  <r>
    <x v="238"/>
    <x v="49"/>
    <s v="Beverages"/>
    <n v="2.95"/>
    <n v="677.97"/>
    <x v="1"/>
    <s v=" Cash"/>
    <s v="Walter Muller"/>
    <s v="Berlin"/>
    <n v="2000.0115000000003"/>
    <s v="Walter Muller"/>
  </r>
  <r>
    <x v="239"/>
    <x v="49"/>
    <s v="Sides &amp; Other"/>
    <n v="4.99"/>
    <n v="200.4"/>
    <x v="1"/>
    <s v=" Cash"/>
    <s v="Walter Muller"/>
    <s v="Berlin"/>
    <n v="999.9960000000001"/>
    <s v="Walter Muller"/>
  </r>
  <r>
    <x v="240"/>
    <x v="50"/>
    <s v="Burgers"/>
    <n v="12.99"/>
    <n v="692.84"/>
    <x v="1"/>
    <s v=" Cash"/>
    <s v="Walter Muller"/>
    <s v="Berlin"/>
    <n v="8999.991600000001"/>
    <s v="Walter Muller"/>
  </r>
  <r>
    <x v="241"/>
    <x v="50"/>
    <s v="Chicken Sandwiches"/>
    <n v="9.95"/>
    <n v="281.41"/>
    <x v="1"/>
    <s v=" Cash"/>
    <s v="Walter Muller"/>
    <s v="Berlin"/>
    <n v="2800.0295"/>
    <s v="Walter Muller"/>
  </r>
  <r>
    <x v="242"/>
    <x v="50"/>
    <s v="Fries"/>
    <n v="3.49"/>
    <n v="630.37"/>
    <x v="1"/>
    <s v=" Cash"/>
    <s v="Walter Muller"/>
    <s v="Berlin"/>
    <n v="2199.9913"/>
    <s v="Walter Muller"/>
  </r>
  <r>
    <x v="243"/>
    <x v="50"/>
    <s v="Beverages"/>
    <n v="2.95"/>
    <n v="677.97"/>
    <x v="1"/>
    <s v=" Gift Card"/>
    <s v="Walter Muller"/>
    <s v="Berlin"/>
    <n v="2000.0115000000003"/>
    <s v="Walter Muller"/>
  </r>
  <r>
    <x v="244"/>
    <x v="50"/>
    <s v="Sides &amp; Other"/>
    <n v="4.99"/>
    <n v="200.4"/>
    <x v="2"/>
    <s v=" Gift Card"/>
    <s v="Walter Muller"/>
    <s v="Berlin"/>
    <n v="999.9960000000001"/>
    <s v="Walter Muller"/>
  </r>
  <r>
    <x v="245"/>
    <x v="51"/>
    <s v="Burgers"/>
    <n v="12.99"/>
    <n v="723.63"/>
    <x v="2"/>
    <s v=" Gift Card"/>
    <s v="Walter Muller"/>
    <s v="Berlin"/>
    <n v="9399.9537"/>
    <s v="Walter Muller"/>
  </r>
  <r>
    <x v="246"/>
    <x v="51"/>
    <s v="Chicken Sandwiches"/>
    <n v="9.95"/>
    <n v="301.51"/>
    <x v="2"/>
    <s v=" Gift Card"/>
    <s v="Walter Muller"/>
    <s v="Berlin"/>
    <n v="3000.0244999999995"/>
    <s v="Walter Muller"/>
  </r>
  <r>
    <x v="247"/>
    <x v="51"/>
    <s v="Fries"/>
    <n v="3.49"/>
    <n v="630.37"/>
    <x v="2"/>
    <s v=" Gift Card"/>
    <s v="Walter Muller"/>
    <s v="Berlin"/>
    <n v="2199.9913"/>
    <s v="Walter Muller"/>
  </r>
  <r>
    <x v="248"/>
    <x v="51"/>
    <s v="Beverages"/>
    <n v="2.95"/>
    <n v="677.97"/>
    <x v="2"/>
    <s v=" Gift Card"/>
    <s v="Walter Muller"/>
    <s v="Berlin"/>
    <n v="2000.0115000000003"/>
    <s v="Walter Muller"/>
  </r>
  <r>
    <x v="249"/>
    <x v="51"/>
    <s v="Sides &amp; Other"/>
    <n v="4.99"/>
    <n v="200.4"/>
    <x v="2"/>
    <s v=" Gift Card"/>
    <s v="Walter Muller"/>
    <s v="Berlin"/>
    <n v="999.9960000000001"/>
    <s v="Walter Muller"/>
  </r>
  <r>
    <x v="250"/>
    <x v="52"/>
    <s v="Burgers"/>
    <n v="12.99"/>
    <n v="754.43"/>
    <x v="2"/>
    <s v=" Gift Card"/>
    <s v="Walter Muller"/>
    <s v="Berlin"/>
    <n v="9800.045699999999"/>
    <s v="Walter Muller"/>
  </r>
  <r>
    <x v="251"/>
    <x v="52"/>
    <s v="Chicken Sandwiches"/>
    <n v="9.95"/>
    <n v="281.41"/>
    <x v="2"/>
    <s v=" Gift Card"/>
    <s v="Walter Muller"/>
    <s v="Berlin"/>
    <n v="2800.0295"/>
    <s v="Walter Muller"/>
  </r>
  <r>
    <x v="252"/>
    <x v="52"/>
    <s v="Fries"/>
    <n v="3.49"/>
    <n v="630.37"/>
    <x v="2"/>
    <s v=" Gift Card"/>
    <s v="Walter Muller"/>
    <s v="Berlin"/>
    <n v="2199.9913"/>
    <s v="Walter Muller"/>
  </r>
  <r>
    <x v="253"/>
    <x v="52"/>
    <s v="Beverages"/>
    <n v="2.95"/>
    <n v="677.97"/>
    <x v="2"/>
    <s v=" Gift Card"/>
    <s v="Walter Muller"/>
    <s v="Berlin"/>
    <n v="2000.0115000000003"/>
    <s v="Walter Muller"/>
  </r>
  <r>
    <x v="254"/>
    <x v="53"/>
    <m/>
    <m/>
    <m/>
    <x v="3"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255">
  <r>
    <x v="0"/>
    <x v="0"/>
    <s v="Fries"/>
    <n v="3.49"/>
    <n v="573.07"/>
    <s v="Online "/>
    <s v=" Gift Card"/>
    <s v="Tom      Jackson"/>
    <s v="London"/>
    <x v="0"/>
    <s v="Tom Jackson"/>
  </r>
  <r>
    <x v="1"/>
    <x v="0"/>
    <s v="Beverages"/>
    <n v="2.95"/>
    <n v="745.76"/>
    <s v="Online "/>
    <s v=" Gift Card"/>
    <s v="       Pablo Perez"/>
    <s v="Madrid"/>
    <x v="1"/>
    <s v="Pablo Perez"/>
  </r>
  <r>
    <x v="2"/>
    <x v="0"/>
    <s v="Sides &amp; Other"/>
    <n v="4.99"/>
    <n v="200.4"/>
    <s v="In-store "/>
    <s v=" Gift Card"/>
    <s v="Joao    Silva"/>
    <s v="Lisbon"/>
    <x v="2"/>
    <s v="Joao Silva"/>
  </r>
  <r>
    <x v="3"/>
    <x v="1"/>
    <s v="Burgers"/>
    <n v="12.99"/>
    <n v="569.67"/>
    <s v="In-store "/>
    <s v=" Credit Card"/>
    <s v="Walter Muller"/>
    <s v="Berlin"/>
    <x v="3"/>
    <s v="Walter Muller"/>
  </r>
  <r>
    <x v="4"/>
    <x v="1"/>
    <s v="Chicken Sandwiches"/>
    <n v="9.95"/>
    <n v="201.01"/>
    <s v="In-store "/>
    <s v=" Credit Card"/>
    <s v="Walter Muller"/>
    <s v="Berlin"/>
    <x v="4"/>
    <s v="Walter Muller"/>
  </r>
  <r>
    <x v="5"/>
    <x v="1"/>
    <s v="Fries"/>
    <n v="3.49"/>
    <n v="573.07"/>
    <s v="In-store "/>
    <s v=" Credit Card"/>
    <s v="Remy    Monet"/>
    <s v="Paris"/>
    <x v="0"/>
    <s v="Remy Monet"/>
  </r>
  <r>
    <x v="6"/>
    <x v="1"/>
    <s v="Sides &amp; Other"/>
    <n v="4.99"/>
    <n v="200.4"/>
    <s v="In-store "/>
    <s v=" Credit Card"/>
    <s v="Walter Muller"/>
    <s v="Berlin"/>
    <x v="2"/>
    <s v="Walter Muller"/>
  </r>
  <r>
    <x v="7"/>
    <x v="2"/>
    <s v="Burgers"/>
    <n v="12.99"/>
    <n v="554.27"/>
    <s v="In-store "/>
    <s v=" Credit Card"/>
    <s v="Remy Monet"/>
    <s v="Paris"/>
    <x v="5"/>
    <s v="Remy Monet"/>
  </r>
  <r>
    <x v="8"/>
    <x v="2"/>
    <s v="Chicken Sandwiches"/>
    <n v="9.95"/>
    <n v="201.01"/>
    <s v="In-store "/>
    <s v=" Credit Card"/>
    <s v="Remy Monet"/>
    <s v="Paris"/>
    <x v="4"/>
    <s v="Remy Monet"/>
  </r>
  <r>
    <x v="9"/>
    <x v="2"/>
    <s v="Fries"/>
    <n v="3.49"/>
    <n v="573.07"/>
    <s v="In-store "/>
    <s v=" Credit Card"/>
    <s v="       Remy Monet"/>
    <s v="Paris"/>
    <x v="0"/>
    <s v="Remy Monet"/>
  </r>
  <r>
    <x v="10"/>
    <x v="2"/>
    <s v="Beverages"/>
    <n v="2.95"/>
    <n v="677.97"/>
    <s v="In-store "/>
    <s v=" Credit Card"/>
    <s v="       Remy Monet"/>
    <s v="Paris"/>
    <x v="6"/>
    <s v="Remy Monet"/>
  </r>
  <r>
    <x v="11"/>
    <x v="2"/>
    <s v="Sides &amp; Other"/>
    <n v="4.99"/>
    <n v="200.4"/>
    <s v="In-store "/>
    <s v=" Credit Card"/>
    <s v="Remy     Monet"/>
    <s v="Paris"/>
    <x v="2"/>
    <s v="Remy Monet"/>
  </r>
  <r>
    <x v="12"/>
    <x v="3"/>
    <s v="Burgers"/>
    <n v="12.99"/>
    <n v="554.27"/>
    <s v="In-store "/>
    <s v=" Credit Card"/>
    <s v="Pablo Perez"/>
    <s v="Madrid"/>
    <x v="5"/>
    <s v="Pablo Perez"/>
  </r>
  <r>
    <x v="13"/>
    <x v="3"/>
    <s v="Chicken Sandwiches"/>
    <n v="9.95"/>
    <n v="201.01"/>
    <s v="In-store "/>
    <s v=" Credit Card"/>
    <s v="Pablo Perez"/>
    <s v="Madrid"/>
    <x v="4"/>
    <s v="Pablo Perez"/>
  </r>
  <r>
    <x v="14"/>
    <x v="3"/>
    <s v="Fries"/>
    <n v="3.49"/>
    <n v="573.07"/>
    <s v="In-store "/>
    <s v=" Credit Card"/>
    <s v="Pablo Perez"/>
    <s v="Madrid"/>
    <x v="0"/>
    <s v="Pablo Perez"/>
  </r>
  <r>
    <x v="15"/>
    <x v="3"/>
    <s v="Beverages"/>
    <n v="2.95"/>
    <n v="677.97"/>
    <s v="In-store "/>
    <s v=" Credit Card"/>
    <s v="       Pablo Perez"/>
    <s v="Madrid"/>
    <x v="6"/>
    <s v="Pablo Perez"/>
  </r>
  <r>
    <x v="16"/>
    <x v="4"/>
    <s v="Burgers"/>
    <n v="12.99"/>
    <n v="554.27"/>
    <s v="In-store "/>
    <s v=" Credit Card"/>
    <s v="       Pablo Perez"/>
    <s v="Madrid"/>
    <x v="5"/>
    <s v="Pablo Perez"/>
  </r>
  <r>
    <x v="17"/>
    <x v="4"/>
    <s v="Chicken Sandwiches"/>
    <n v="9.95"/>
    <n v="201.01"/>
    <s v="In-store "/>
    <s v=" Credit Card"/>
    <s v="       Pablo Perez"/>
    <s v="Madrid"/>
    <x v="4"/>
    <s v="Pablo Perez"/>
  </r>
  <r>
    <x v="18"/>
    <x v="4"/>
    <s v="Fries"/>
    <n v="3.49"/>
    <n v="630.37"/>
    <s v="In-store "/>
    <s v=" Credit Card"/>
    <s v="Pablo   Perez"/>
    <s v="Madrid"/>
    <x v="7"/>
    <s v="Pablo Perez"/>
  </r>
  <r>
    <x v="19"/>
    <x v="4"/>
    <s v="Beverages"/>
    <n v="2.95"/>
    <n v="677.97"/>
    <s v="In-store "/>
    <s v=" Credit Card"/>
    <s v="       Pablo Perez"/>
    <s v="Madrid"/>
    <x v="6"/>
    <s v="Pablo Perez"/>
  </r>
  <r>
    <x v="20"/>
    <x v="4"/>
    <s v="Sides &amp; Other"/>
    <n v="4.99"/>
    <n v="200.4"/>
    <s v="In-store "/>
    <s v=" Credit Card"/>
    <s v="       Pablo Perez"/>
    <s v="Madrid"/>
    <x v="2"/>
    <s v="Pablo Perez"/>
  </r>
  <r>
    <x v="21"/>
    <x v="5"/>
    <s v="Burgers"/>
    <n v="12.99"/>
    <n v="523.48"/>
    <s v="In-store "/>
    <s v=" Credit Card"/>
    <s v="       Pablo Perez"/>
    <s v="Madrid"/>
    <x v="8"/>
    <s v="Pablo Perez"/>
  </r>
  <r>
    <x v="22"/>
    <x v="5"/>
    <s v="Chicken Sandwiches"/>
    <n v="9.95"/>
    <n v="201.01"/>
    <s v="In-store "/>
    <s v=" Credit Card"/>
    <s v="Pablo Perez"/>
    <s v="Madrid"/>
    <x v="4"/>
    <s v="Pablo Perez"/>
  </r>
  <r>
    <x v="23"/>
    <x v="5"/>
    <s v="Fries"/>
    <n v="3.49"/>
    <n v="630.37"/>
    <s v="In-store "/>
    <s v=" Credit Card"/>
    <s v="Pablo  Perez"/>
    <s v="Madrid"/>
    <x v="7"/>
    <s v="Pablo Perez"/>
  </r>
  <r>
    <x v="24"/>
    <x v="5"/>
    <s v="Beverages"/>
    <n v="2.95"/>
    <n v="677.97"/>
    <s v="In-store "/>
    <s v=" Credit Card"/>
    <s v="Pablo Perez"/>
    <s v="Madrid"/>
    <x v="6"/>
    <s v="Pablo Perez"/>
  </r>
  <r>
    <x v="25"/>
    <x v="5"/>
    <s v="Sides &amp; Other"/>
    <n v="4.99"/>
    <n v="200.4"/>
    <s v="In-store "/>
    <s v=" Credit Card"/>
    <s v="Pablo    Perez"/>
    <s v="Madrid"/>
    <x v="2"/>
    <s v="Pablo Perez"/>
  </r>
  <r>
    <x v="26"/>
    <x v="6"/>
    <s v="Burgers"/>
    <n v="12.99"/>
    <n v="508.08"/>
    <s v="In-store "/>
    <s v=" Credit Card"/>
    <s v="Pablo Perez"/>
    <s v="Madrid"/>
    <x v="9"/>
    <s v="Pablo Perez"/>
  </r>
  <r>
    <x v="27"/>
    <x v="6"/>
    <s v="Chicken Sandwiches"/>
    <n v="9.95"/>
    <n v="201.01"/>
    <s v="In-store "/>
    <s v=" Credit Card"/>
    <s v="Pablo Perez"/>
    <s v="Madrid"/>
    <x v="4"/>
    <s v="Pablo Perez"/>
  </r>
  <r>
    <x v="28"/>
    <x v="6"/>
    <s v="Fries"/>
    <n v="25.5"/>
    <n v="630.37"/>
    <s v="In-store "/>
    <s v=" Credit Card"/>
    <s v="Joao Silva"/>
    <s v="Lisbon"/>
    <x v="10"/>
    <s v="Joao Silva"/>
  </r>
  <r>
    <x v="29"/>
    <x v="7"/>
    <s v="Chicken Sandwiches"/>
    <n v="29.05"/>
    <n v="201.01"/>
    <s v="In-store "/>
    <s v=" Credit Card"/>
    <s v="Joao    Silva"/>
    <s v="Lisbon"/>
    <x v="11"/>
    <s v="Joao Silva"/>
  </r>
  <r>
    <x v="30"/>
    <x v="7"/>
    <s v="Fries"/>
    <n v="3.49"/>
    <n v="630.37"/>
    <s v="In-store "/>
    <s v=" Credit Card"/>
    <s v="Joao Silva"/>
    <s v="Lisbon"/>
    <x v="7"/>
    <s v="Joao Silva"/>
  </r>
  <r>
    <x v="31"/>
    <x v="7"/>
    <s v="Beverages"/>
    <n v="2.95"/>
    <n v="677.97"/>
    <s v="In-store "/>
    <s v=" Credit Card"/>
    <s v="Joao Silva"/>
    <s v="Lisbon"/>
    <x v="6"/>
    <s v="Joao Silva"/>
  </r>
  <r>
    <x v="32"/>
    <x v="7"/>
    <s v="Sides &amp; Other"/>
    <n v="4.99"/>
    <n v="200.4"/>
    <s v="In-store "/>
    <s v=" Credit Card"/>
    <s v="Pablo Perez"/>
    <s v="Madrid"/>
    <x v="2"/>
    <s v="Pablo Perez"/>
  </r>
  <r>
    <x v="33"/>
    <x v="8"/>
    <s v="Burgers"/>
    <n v="12.99"/>
    <n v="508.08"/>
    <s v="In-store "/>
    <s v=" Credit Card"/>
    <s v="Pablo Perez"/>
    <s v="Madrid"/>
    <x v="9"/>
    <s v="Pablo Perez"/>
  </r>
  <r>
    <x v="34"/>
    <x v="8"/>
    <s v="Chicken Sandwiches"/>
    <n v="9.95"/>
    <n v="201.01"/>
    <s v="In-store "/>
    <s v=" Credit Card"/>
    <s v="Pablo Perez"/>
    <s v="Madrid"/>
    <x v="4"/>
    <s v="Pablo Perez"/>
  </r>
  <r>
    <x v="35"/>
    <x v="8"/>
    <s v="Fries"/>
    <n v="3.49"/>
    <n v="573.07"/>
    <s v="In-store "/>
    <s v=" Credit Card"/>
    <s v="Pablo Perez"/>
    <s v="Madrid"/>
    <x v="0"/>
    <s v="Pablo Perez"/>
  </r>
  <r>
    <x v="36"/>
    <x v="8"/>
    <s v="Beverages"/>
    <n v="2.95"/>
    <n v="677.97"/>
    <s v="In-store "/>
    <s v=" Credit Card"/>
    <s v="Pablo Perez"/>
    <s v="Madrid"/>
    <x v="6"/>
    <s v="Pablo Perez"/>
  </r>
  <r>
    <x v="37"/>
    <x v="8"/>
    <s v="Sides &amp; Other"/>
    <n v="4.99"/>
    <n v="200.4"/>
    <s v="In-store "/>
    <s v=" Credit Card"/>
    <s v="Pablo Perez"/>
    <s v="Madrid"/>
    <x v="2"/>
    <s v="Pablo Perez"/>
  </r>
  <r>
    <x v="38"/>
    <x v="9"/>
    <s v="Burgers"/>
    <n v="12.99"/>
    <n v="508.08"/>
    <s v="In-store "/>
    <s v=" Credit Card"/>
    <s v="Pablo Perez"/>
    <s v="Madrid"/>
    <x v="9"/>
    <s v="Pablo Perez"/>
  </r>
  <r>
    <x v="39"/>
    <x v="9"/>
    <s v="Chicken Sandwiches"/>
    <n v="9.95"/>
    <n v="201.01"/>
    <s v="In-store "/>
    <s v=" Credit Card"/>
    <s v="Pablo Perez"/>
    <s v="Madrid"/>
    <x v="4"/>
    <s v="Pablo Perez"/>
  </r>
  <r>
    <x v="40"/>
    <x v="9"/>
    <s v="Fries"/>
    <n v="3.49"/>
    <n v="573.07"/>
    <s v="In-store "/>
    <s v=" Credit Card"/>
    <s v="Pablo Perez"/>
    <s v="Madrid"/>
    <x v="0"/>
    <s v="Pablo Perez"/>
  </r>
  <r>
    <x v="41"/>
    <x v="9"/>
    <s v="Beverages"/>
    <n v="2.95"/>
    <n v="677.97"/>
    <s v="Drive-thru "/>
    <s v=" Credit Card"/>
    <s v="Pablo Perez"/>
    <s v="Madrid"/>
    <x v="6"/>
    <s v="Pablo Perez"/>
  </r>
  <r>
    <x v="42"/>
    <x v="9"/>
    <s v="Sides &amp; Other"/>
    <n v="4.99"/>
    <n v="200.4"/>
    <s v="Drive-thru "/>
    <s v=" Credit Card"/>
    <s v="Pablo Perez"/>
    <s v="Madrid"/>
    <x v="2"/>
    <s v="Pablo Perez"/>
  </r>
  <r>
    <x v="43"/>
    <x v="10"/>
    <s v="Burgers"/>
    <n v="12.99"/>
    <n v="523.48"/>
    <s v="Drive-thru "/>
    <s v=" Credit Card"/>
    <s v="Pablo Perez"/>
    <s v="Madrid"/>
    <x v="8"/>
    <s v="Pablo Perez"/>
  </r>
  <r>
    <x v="44"/>
    <x v="10"/>
    <s v="Chicken Sandwiches"/>
    <n v="9.95"/>
    <n v="201.01"/>
    <s v="Drive-thru "/>
    <s v=" Credit Card"/>
    <s v="Pablo Perez"/>
    <s v="Madrid"/>
    <x v="4"/>
    <s v="Pablo Perez"/>
  </r>
  <r>
    <x v="45"/>
    <x v="10"/>
    <s v="Fries"/>
    <n v="3.49"/>
    <n v="630.37"/>
    <s v="Drive-thru "/>
    <s v=" Credit Card"/>
    <s v="Pablo Perez"/>
    <s v="Madrid"/>
    <x v="7"/>
    <s v="Pablo Perez"/>
  </r>
  <r>
    <x v="46"/>
    <x v="10"/>
    <s v="Beverages"/>
    <n v="2.95"/>
    <n v="677.97"/>
    <s v="Drive-thru "/>
    <s v=" Credit Card"/>
    <s v="Pablo Perez"/>
    <s v="Madrid"/>
    <x v="6"/>
    <s v="Pablo Perez"/>
  </r>
  <r>
    <x v="47"/>
    <x v="10"/>
    <s v="Sides &amp; Other"/>
    <n v="4.99"/>
    <n v="200.4"/>
    <s v="Drive-thru "/>
    <s v=" Credit Card"/>
    <s v="Pablo Perez"/>
    <s v="Madrid"/>
    <x v="2"/>
    <s v="Pablo Perez"/>
  </r>
  <r>
    <x v="48"/>
    <x v="11"/>
    <s v="Burgers"/>
    <n v="12.99"/>
    <n v="538.88"/>
    <s v="Drive-thru "/>
    <s v=" Credit Card"/>
    <s v="Pablo Perez"/>
    <s v="Madrid"/>
    <x v="12"/>
    <s v="Pablo Perez"/>
  </r>
  <r>
    <x v="49"/>
    <x v="11"/>
    <s v="Chicken Sandwiches"/>
    <n v="9.95"/>
    <n v="201.01"/>
    <s v="Drive-thru "/>
    <s v=" Credit Card"/>
    <s v="Pablo Perez"/>
    <s v="Madrid"/>
    <x v="4"/>
    <s v="Pablo Perez"/>
  </r>
  <r>
    <x v="50"/>
    <x v="11"/>
    <s v="Fries"/>
    <n v="3.49"/>
    <n v="687.68"/>
    <s v="Drive-thru "/>
    <s v=" Credit Card"/>
    <s v="Pablo Perez"/>
    <s v="Madrid"/>
    <x v="13"/>
    <s v="Pablo Perez"/>
  </r>
  <r>
    <x v="51"/>
    <x v="11"/>
    <s v="Beverages"/>
    <n v="2.95"/>
    <n v="677.97"/>
    <s v="Drive-thru "/>
    <s v=" Credit Card"/>
    <s v="Pablo Perez"/>
    <s v="Madrid"/>
    <x v="6"/>
    <s v="Pablo Perez"/>
  </r>
  <r>
    <x v="52"/>
    <x v="11"/>
    <s v="Sides &amp; Other"/>
    <n v="4.99"/>
    <n v="200.4"/>
    <s v="Drive-thru "/>
    <s v=" Credit Card"/>
    <s v="Pablo Perez"/>
    <s v="Madrid"/>
    <x v="2"/>
    <s v="Pablo Perez"/>
  </r>
  <r>
    <x v="53"/>
    <x v="12"/>
    <s v="Burgers"/>
    <n v="12.99"/>
    <n v="508.08"/>
    <s v="Drive-thru "/>
    <s v=" Credit Card"/>
    <s v="Pablo Perez"/>
    <s v="Madrid"/>
    <x v="9"/>
    <s v="Pablo Perez"/>
  </r>
  <r>
    <x v="54"/>
    <x v="12"/>
    <s v="Chicken Sandwiches"/>
    <n v="9.95"/>
    <n v="201.01"/>
    <s v="Drive-thru "/>
    <s v=" Credit Card"/>
    <s v="Joao Silva"/>
    <s v="Lisbon"/>
    <x v="4"/>
    <s v="Joao Silva"/>
  </r>
  <r>
    <x v="55"/>
    <x v="12"/>
    <s v="Fries"/>
    <n v="3.49"/>
    <n v="687.68"/>
    <s v="Drive-thru "/>
    <s v=" Credit Card"/>
    <s v="Joao Silva"/>
    <s v="Lisbon"/>
    <x v="13"/>
    <s v="Joao Silva"/>
  </r>
  <r>
    <x v="56"/>
    <x v="12"/>
    <s v="Beverages"/>
    <n v="2.95"/>
    <n v="677.97"/>
    <s v="Drive-thru "/>
    <s v=" Cash"/>
    <s v="Joao Silva"/>
    <s v="Lisbon"/>
    <x v="6"/>
    <s v="Joao Silva"/>
  </r>
  <r>
    <x v="57"/>
    <x v="12"/>
    <s v="Sides &amp; Other"/>
    <n v="4.99"/>
    <n v="200.4"/>
    <s v="Drive-thru "/>
    <s v=" Cash"/>
    <s v="Joao Silva"/>
    <s v="Lisbon"/>
    <x v="2"/>
    <s v="Joao Silva"/>
  </r>
  <r>
    <x v="58"/>
    <x v="13"/>
    <s v="Burgers"/>
    <n v="12.99"/>
    <n v="477.29"/>
    <s v="Drive-thru "/>
    <s v=" Cash"/>
    <s v="Joao Silva"/>
    <s v="Lisbon"/>
    <x v="14"/>
    <s v="Joao Silva"/>
  </r>
  <r>
    <x v="59"/>
    <x v="13"/>
    <s v="Chicken Sandwiches"/>
    <n v="9.95"/>
    <n v="201.01"/>
    <s v="Drive-thru "/>
    <s v=" Cash"/>
    <s v="Joao Silva"/>
    <s v="Lisbon"/>
    <x v="4"/>
    <s v="Joao Silva"/>
  </r>
  <r>
    <x v="60"/>
    <x v="6"/>
    <s v="Beverages"/>
    <n v="2.95"/>
    <n v="677.97"/>
    <s v="In-store "/>
    <s v=" Credit Card"/>
    <s v="Joao    Silva"/>
    <s v="Lisbon"/>
    <x v="6"/>
    <s v="Joao Silva"/>
  </r>
  <r>
    <x v="61"/>
    <x v="6"/>
    <s v="Sides &amp; Other"/>
    <n v="4.99"/>
    <n v="200.4"/>
    <s v="In-store "/>
    <s v=" Credit Card"/>
    <s v="Joao    Silva"/>
    <s v="Lisbon"/>
    <x v="2"/>
    <s v="Joao Silva"/>
  </r>
  <r>
    <x v="62"/>
    <x v="7"/>
    <s v="Burgers"/>
    <n v="12.99"/>
    <n v="523.48"/>
    <s v="In-store "/>
    <s v=" Credit Card"/>
    <s v="Joao    Silva"/>
    <s v="Lisbon"/>
    <x v="8"/>
    <s v="Joao Silva"/>
  </r>
  <r>
    <x v="63"/>
    <x v="14"/>
    <s v="Burgers"/>
    <n v="12.99"/>
    <n v="492.69"/>
    <s v="Drive-thru "/>
    <s v=" Cash"/>
    <s v="Remy Monet"/>
    <s v="Paris"/>
    <x v="15"/>
    <s v="Remy Monet"/>
  </r>
  <r>
    <x v="64"/>
    <x v="14"/>
    <s v="Chicken Sandwiches"/>
    <n v="9.95"/>
    <n v="201.01"/>
    <s v="Drive-thru "/>
    <s v=" Cash"/>
    <s v="Remy Monet"/>
    <s v="Paris"/>
    <x v="4"/>
    <s v="Remy Monet"/>
  </r>
  <r>
    <x v="65"/>
    <x v="14"/>
    <s v="Fries"/>
    <n v="3.49"/>
    <n v="687.68"/>
    <s v="Drive-thru "/>
    <s v=" Cash"/>
    <s v="Remy Monet"/>
    <s v="Paris"/>
    <x v="13"/>
    <s v="Remy Monet"/>
  </r>
  <r>
    <x v="66"/>
    <x v="14"/>
    <s v="Beverages"/>
    <n v="2.95"/>
    <n v="745.76"/>
    <s v="Drive-thru "/>
    <s v=" Cash"/>
    <s v="Remy Monet"/>
    <s v="Paris"/>
    <x v="1"/>
    <s v="Remy Monet"/>
  </r>
  <r>
    <x v="67"/>
    <x v="14"/>
    <s v="Sides &amp; Other"/>
    <n v="4.99"/>
    <n v="200.4"/>
    <s v="Drive-thru "/>
    <s v=" Cash"/>
    <s v="Remy Monet"/>
    <s v="Paris"/>
    <x v="2"/>
    <s v="Remy Monet"/>
  </r>
  <r>
    <x v="68"/>
    <x v="15"/>
    <s v="Burgers"/>
    <n v="12.99"/>
    <n v="461.89"/>
    <s v="Drive-thru "/>
    <s v=" Cash"/>
    <s v="Remy Monet"/>
    <s v="Paris"/>
    <x v="16"/>
    <s v="Remy Monet"/>
  </r>
  <r>
    <x v="69"/>
    <x v="15"/>
    <s v="Chicken Sandwiches"/>
    <n v="9.95"/>
    <n v="201.01"/>
    <s v="Drive-thru "/>
    <s v=" Cash"/>
    <s v="Remy Monet"/>
    <s v="Paris"/>
    <x v="4"/>
    <s v="Remy Monet"/>
  </r>
  <r>
    <x v="70"/>
    <x v="15"/>
    <s v="Fries"/>
    <n v="3.49"/>
    <n v="687.68"/>
    <s v="Drive-thru "/>
    <s v=" Cash"/>
    <s v="Remy Monet"/>
    <s v="Paris"/>
    <x v="13"/>
    <s v="Remy Monet"/>
  </r>
  <r>
    <x v="71"/>
    <x v="15"/>
    <s v="Beverages"/>
    <n v="2.95"/>
    <n v="745.76"/>
    <s v="Drive-thru "/>
    <s v=" Cash"/>
    <s v="Remy Monet"/>
    <s v="Paris"/>
    <x v="1"/>
    <s v="Remy Monet"/>
  </r>
  <r>
    <x v="72"/>
    <x v="15"/>
    <s v="Sides &amp; Other"/>
    <n v="4.99"/>
    <n v="200.4"/>
    <s v="Drive-thru "/>
    <s v=" Cash"/>
    <s v="Remy Monet"/>
    <s v="Paris"/>
    <x v="2"/>
    <s v="Remy Monet"/>
  </r>
  <r>
    <x v="73"/>
    <x v="16"/>
    <s v="Burgers"/>
    <n v="12.99"/>
    <n v="477.29"/>
    <s v="Drive-thru "/>
    <s v=" Cash"/>
    <s v="Remy Monet"/>
    <s v="Paris"/>
    <x v="14"/>
    <s v="Remy Monet"/>
  </r>
  <r>
    <x v="74"/>
    <x v="16"/>
    <s v="Chicken Sandwiches"/>
    <n v="9.95"/>
    <n v="201.01"/>
    <s v="Drive-thru "/>
    <s v=" Cash"/>
    <s v="Remy Monet"/>
    <s v="Paris"/>
    <x v="4"/>
    <s v="Remy Monet"/>
  </r>
  <r>
    <x v="75"/>
    <x v="16"/>
    <s v="Fries"/>
    <n v="3.49"/>
    <n v="687.68"/>
    <s v="Drive-thru "/>
    <s v=" Cash"/>
    <s v="Joao Silva"/>
    <s v="Lisbon"/>
    <x v="13"/>
    <s v="Joao Silva"/>
  </r>
  <r>
    <x v="76"/>
    <x v="16"/>
    <s v="Beverages"/>
    <n v="2.95"/>
    <n v="745.76"/>
    <s v="Drive-thru "/>
    <s v=" Cash"/>
    <s v="Joao Silva"/>
    <s v="Lisbon"/>
    <x v="1"/>
    <s v="Joao Silva"/>
  </r>
  <r>
    <x v="77"/>
    <x v="16"/>
    <s v="Sides &amp; Other"/>
    <n v="4.99"/>
    <n v="200.4"/>
    <s v="Drive-thru "/>
    <s v=" Cash"/>
    <s v="Pablo Perez"/>
    <s v="Madrid"/>
    <x v="2"/>
    <s v="Pablo Perez"/>
  </r>
  <r>
    <x v="78"/>
    <x v="17"/>
    <s v="Burgers"/>
    <n v="12.99"/>
    <n v="477.29"/>
    <s v="Drive-thru "/>
    <s v=" Credit Card"/>
    <s v="Pablo Perez"/>
    <s v="Madrid"/>
    <x v="14"/>
    <s v="Pablo Perez"/>
  </r>
  <r>
    <x v="79"/>
    <x v="17"/>
    <s v="Chicken Sandwiches"/>
    <n v="9.95"/>
    <n v="201.01"/>
    <s v="Drive-thru "/>
    <s v=" Credit Card"/>
    <s v="Pablo Perez"/>
    <s v="Madrid"/>
    <x v="4"/>
    <s v="Pablo Perez"/>
  </r>
  <r>
    <x v="80"/>
    <x v="18"/>
    <s v="Burgers"/>
    <n v="12.99"/>
    <n v="461.89"/>
    <s v="Drive-thru "/>
    <s v=" Credit Card"/>
    <s v="Pablo Perez"/>
    <s v="Madrid"/>
    <x v="16"/>
    <s v="Pablo Perez"/>
  </r>
  <r>
    <x v="81"/>
    <x v="18"/>
    <s v="Chicken Sandwiches"/>
    <n v="9.95"/>
    <n v="201.01"/>
    <s v="Drive-thru "/>
    <s v=" Credit Card"/>
    <s v="Tom Jackson"/>
    <s v="London"/>
    <x v="4"/>
    <s v="Tom Jackson"/>
  </r>
  <r>
    <x v="82"/>
    <x v="18"/>
    <s v="Fries"/>
    <n v="3.49"/>
    <n v="630.37"/>
    <s v="Drive-thru "/>
    <s v=" Credit Card"/>
    <s v="Tom Jackson"/>
    <s v="London"/>
    <x v="7"/>
    <s v="Tom Jackson"/>
  </r>
  <r>
    <x v="83"/>
    <x v="18"/>
    <s v="Beverages"/>
    <n v="2.95"/>
    <n v="745.76"/>
    <s v="Drive-thru "/>
    <s v=" Credit Card"/>
    <s v="Tom Jackson"/>
    <s v="London"/>
    <x v="1"/>
    <s v="Tom Jackson"/>
  </r>
  <r>
    <x v="84"/>
    <x v="18"/>
    <s v="Sides &amp; Other"/>
    <n v="4.99"/>
    <n v="200.4"/>
    <s v="Drive-thru "/>
    <s v=" Credit Card"/>
    <s v="Tom Jackson"/>
    <s v="London"/>
    <x v="2"/>
    <s v="Tom Jackson"/>
  </r>
  <r>
    <x v="85"/>
    <x v="19"/>
    <s v="Burgers"/>
    <n v="12.99"/>
    <n v="446.5"/>
    <s v="Drive-thru "/>
    <s v=" Credit Card"/>
    <s v="Tom Jackson"/>
    <s v="London"/>
    <x v="17"/>
    <s v="Tom Jackson"/>
  </r>
  <r>
    <x v="86"/>
    <x v="19"/>
    <s v="Chicken Sandwiches"/>
    <n v="9.95"/>
    <n v="201.01"/>
    <s v="Drive-thru "/>
    <s v=" Credit Card"/>
    <s v="Tom Jackson"/>
    <s v="London"/>
    <x v="4"/>
    <s v="Tom Jackson"/>
  </r>
  <r>
    <x v="87"/>
    <x v="19"/>
    <s v="Fries"/>
    <n v="3.49"/>
    <n v="630.37"/>
    <s v="Drive-thru "/>
    <s v=" Credit Card"/>
    <s v="Tom Jackson"/>
    <s v="London"/>
    <x v="7"/>
    <s v="Tom Jackson"/>
  </r>
  <r>
    <x v="88"/>
    <x v="19"/>
    <s v="Beverages"/>
    <n v="2.95"/>
    <n v="745.76"/>
    <s v="Drive-thru "/>
    <s v=" Credit Card"/>
    <s v="Tom Jackson"/>
    <s v="London"/>
    <x v="1"/>
    <s v="Tom Jackson"/>
  </r>
  <r>
    <x v="89"/>
    <x v="19"/>
    <s v="Sides &amp; Other"/>
    <n v="4.99"/>
    <n v="200.4"/>
    <s v="Drive-thru "/>
    <s v=" Credit Card"/>
    <s v="Tom Jackson"/>
    <s v="London"/>
    <x v="2"/>
    <s v="Tom Jackson"/>
  </r>
  <r>
    <x v="90"/>
    <x v="20"/>
    <s v="Burgers"/>
    <n v="12.99"/>
    <n v="461.89"/>
    <s v="Drive-thru "/>
    <s v=" Credit Card"/>
    <s v="Tom Jackson"/>
    <s v="London"/>
    <x v="16"/>
    <s v="Tom Jackson"/>
  </r>
  <r>
    <x v="91"/>
    <x v="20"/>
    <s v="Chicken Sandwiches"/>
    <n v="9.95"/>
    <n v="201.01"/>
    <s v="Drive-thru "/>
    <s v=" Credit Card"/>
    <s v="Tom Jackson"/>
    <s v="London"/>
    <x v="4"/>
    <s v="Tom Jackson"/>
  </r>
  <r>
    <x v="92"/>
    <x v="20"/>
    <s v="Fries"/>
    <n v="3.49"/>
    <n v="630.37"/>
    <s v="Online "/>
    <s v=" Credit Card"/>
    <s v="Tom Jackson"/>
    <s v="London"/>
    <x v="7"/>
    <s v="Tom Jackson"/>
  </r>
  <r>
    <x v="93"/>
    <x v="20"/>
    <s v="Beverages"/>
    <n v="2.95"/>
    <n v="745.76"/>
    <s v="Online "/>
    <s v=" Credit Card"/>
    <s v="Tom Jackson"/>
    <s v="London"/>
    <x v="1"/>
    <s v="Tom Jackson"/>
  </r>
  <r>
    <x v="94"/>
    <x v="20"/>
    <s v="Sides &amp; Other"/>
    <n v="4.99"/>
    <n v="200.4"/>
    <s v="Online "/>
    <s v=" Credit Card"/>
    <s v="Tom Jackson"/>
    <s v="London"/>
    <x v="2"/>
    <s v="Tom Jackson"/>
  </r>
  <r>
    <x v="95"/>
    <x v="21"/>
    <s v="Burgers"/>
    <n v="12.99"/>
    <n v="477.29"/>
    <s v="Online "/>
    <s v=" Credit Card"/>
    <s v="Tom Jackson"/>
    <s v="London"/>
    <x v="14"/>
    <s v="Tom Jackson"/>
  </r>
  <r>
    <x v="96"/>
    <x v="21"/>
    <s v="Chicken Sandwiches"/>
    <n v="9.95"/>
    <n v="201.01"/>
    <s v="Online "/>
    <s v=" Credit Card"/>
    <s v="Tom Jackson"/>
    <s v="London"/>
    <x v="4"/>
    <s v="Tom Jackson"/>
  </r>
  <r>
    <x v="97"/>
    <x v="21"/>
    <s v="Fries"/>
    <n v="3.49"/>
    <n v="630.37"/>
    <s v="Online "/>
    <s v=" Credit Card"/>
    <s v="Tom Jackson"/>
    <s v="London"/>
    <x v="7"/>
    <s v="Tom Jackson"/>
  </r>
  <r>
    <x v="98"/>
    <x v="21"/>
    <s v="Beverages"/>
    <n v="2.95"/>
    <n v="677.97"/>
    <s v="Online "/>
    <s v=" Credit Card"/>
    <s v="Tom Jackson"/>
    <s v="London"/>
    <x v="6"/>
    <s v="Tom Jackson"/>
  </r>
  <r>
    <x v="99"/>
    <x v="21"/>
    <s v="Sides &amp; Other"/>
    <n v="4.99"/>
    <n v="200.4"/>
    <s v="Online "/>
    <s v=" Credit Card"/>
    <s v="Tom Jackson"/>
    <s v="London"/>
    <x v="2"/>
    <s v="Tom Jackson"/>
  </r>
  <r>
    <x v="100"/>
    <x v="22"/>
    <s v="Burgers"/>
    <n v="12.99"/>
    <n v="477.29"/>
    <s v="Online "/>
    <s v=" Credit Card"/>
    <s v="Tom Jackson"/>
    <s v="London"/>
    <x v="14"/>
    <s v="Tom Jackson"/>
  </r>
  <r>
    <x v="101"/>
    <x v="22"/>
    <s v="Chicken Sandwiches"/>
    <n v="9.95"/>
    <n v="201.01"/>
    <s v="Online "/>
    <s v=" Credit Card"/>
    <s v="Tom Jackson"/>
    <s v="London"/>
    <x v="4"/>
    <s v="Tom Jackson"/>
  </r>
  <r>
    <x v="102"/>
    <x v="22"/>
    <s v="Fries"/>
    <n v="3.49"/>
    <n v="630.37"/>
    <s v="Online "/>
    <s v=" Credit Card"/>
    <s v="Tom Jackson"/>
    <s v="London"/>
    <x v="7"/>
    <s v="Tom Jackson"/>
  </r>
  <r>
    <x v="103"/>
    <x v="22"/>
    <s v="Beverages"/>
    <n v="2.95"/>
    <n v="677.97"/>
    <s v="Online "/>
    <s v=" Credit Card"/>
    <s v="Tom Jackson"/>
    <s v="London"/>
    <x v="6"/>
    <s v="Tom Jackson"/>
  </r>
  <r>
    <x v="104"/>
    <x v="22"/>
    <s v="Sides &amp; Other"/>
    <n v="4.99"/>
    <n v="200.4"/>
    <s v="Online "/>
    <s v=" Credit Card"/>
    <s v="Tom Jackson"/>
    <s v="London"/>
    <x v="2"/>
    <s v="Tom Jackson"/>
  </r>
  <r>
    <x v="105"/>
    <x v="23"/>
    <s v="Burgers"/>
    <n v="12.99"/>
    <n v="492.69"/>
    <s v="Online "/>
    <s v=" Credit Card"/>
    <s v="Tom Jackson"/>
    <s v="London"/>
    <x v="15"/>
    <s v="Tom Jackson"/>
  </r>
  <r>
    <x v="106"/>
    <x v="23"/>
    <s v="Chicken Sandwiches"/>
    <n v="9.95"/>
    <n v="201.01"/>
    <s v="Online "/>
    <s v=" Credit Card"/>
    <s v="Tom Jackson"/>
    <s v="London"/>
    <x v="4"/>
    <s v="Tom Jackson"/>
  </r>
  <r>
    <x v="107"/>
    <x v="23"/>
    <s v="Fries"/>
    <n v="3.49"/>
    <n v="630.37"/>
    <s v="Online "/>
    <s v=" Credit Card"/>
    <s v="Tom Jackson"/>
    <s v="London"/>
    <x v="7"/>
    <s v="Tom Jackson"/>
  </r>
  <r>
    <x v="108"/>
    <x v="23"/>
    <s v="Beverages"/>
    <n v="2.95"/>
    <n v="677.97"/>
    <s v="Online "/>
    <s v=" Credit Card"/>
    <s v="Tom Jackson"/>
    <s v="London"/>
    <x v="6"/>
    <s v="Tom Jackson"/>
  </r>
  <r>
    <x v="109"/>
    <x v="23"/>
    <s v="Sides &amp; Other"/>
    <n v="4.99"/>
    <n v="200.4"/>
    <s v="Online "/>
    <s v=" Credit Card"/>
    <s v="Tom Jackson"/>
    <s v="London"/>
    <x v="2"/>
    <s v="Tom Jackson"/>
  </r>
  <r>
    <x v="110"/>
    <x v="24"/>
    <s v="Burgers"/>
    <n v="12.99"/>
    <n v="492.69"/>
    <s v="Online "/>
    <s v=" Credit Card"/>
    <s v="Tom Jackson"/>
    <s v="London"/>
    <x v="15"/>
    <s v="Tom Jackson"/>
  </r>
  <r>
    <x v="111"/>
    <x v="24"/>
    <s v="Chicken Sandwiches"/>
    <n v="9.95"/>
    <n v="201.01"/>
    <s v="Online "/>
    <s v=" Credit Card"/>
    <s v="Tom Jackson"/>
    <s v="London"/>
    <x v="4"/>
    <s v="Tom Jackson"/>
  </r>
  <r>
    <x v="112"/>
    <x v="24"/>
    <s v="Fries"/>
    <n v="3.49"/>
    <n v="573.07"/>
    <s v="Online "/>
    <s v=" Credit Card"/>
    <s v="Remy Monet"/>
    <s v="Paris"/>
    <x v="0"/>
    <s v="Remy Monet"/>
  </r>
  <r>
    <x v="113"/>
    <x v="24"/>
    <s v="Beverages"/>
    <n v="2.95"/>
    <n v="677.97"/>
    <s v="Online "/>
    <s v=" Credit Card"/>
    <s v="Remy Monet"/>
    <s v="Paris"/>
    <x v="6"/>
    <s v="Remy Monet"/>
  </r>
  <r>
    <x v="114"/>
    <x v="24"/>
    <s v="Sides &amp; Other"/>
    <n v="4.99"/>
    <n v="200.4"/>
    <s v="Online "/>
    <s v=" Credit Card"/>
    <s v="Remy Monet"/>
    <s v="Paris"/>
    <x v="2"/>
    <s v="Remy Monet"/>
  </r>
  <r>
    <x v="115"/>
    <x v="25"/>
    <s v="Burgers"/>
    <n v="12.99"/>
    <n v="523.48"/>
    <s v="Online "/>
    <s v=" Credit Card"/>
    <s v="Remy Monet"/>
    <s v="Paris"/>
    <x v="8"/>
    <s v="Remy Monet"/>
  </r>
  <r>
    <x v="116"/>
    <x v="25"/>
    <s v="Chicken Sandwiches"/>
    <n v="9.95"/>
    <n v="201.01"/>
    <s v="Online "/>
    <s v=" Credit Card"/>
    <s v="Remy Monet"/>
    <s v="Paris"/>
    <x v="4"/>
    <s v="Remy Monet"/>
  </r>
  <r>
    <x v="117"/>
    <x v="25"/>
    <s v="Fries"/>
    <n v="3.49"/>
    <n v="630.37"/>
    <s v="Online "/>
    <s v=" Credit Card"/>
    <s v="Remy Monet"/>
    <s v="Paris"/>
    <x v="7"/>
    <s v="Remy Monet"/>
  </r>
  <r>
    <x v="118"/>
    <x v="25"/>
    <s v="Beverages"/>
    <n v="2.95"/>
    <n v="677.97"/>
    <s v="Online "/>
    <s v=" Credit Card"/>
    <s v="Remy Monet"/>
    <s v="Paris"/>
    <x v="6"/>
    <s v="Remy Monet"/>
  </r>
  <r>
    <x v="119"/>
    <x v="25"/>
    <s v="Sides &amp; Other"/>
    <n v="4.99"/>
    <n v="200.4"/>
    <s v="Online "/>
    <s v=" Credit Card"/>
    <s v="Remy Monet"/>
    <s v="Paris"/>
    <x v="2"/>
    <s v="Remy Monet"/>
  </r>
  <r>
    <x v="120"/>
    <x v="26"/>
    <s v="Burgers"/>
    <n v="12.99"/>
    <n v="523.48"/>
    <s v="Online "/>
    <s v=" Credit Card"/>
    <s v="Remy Monet"/>
    <s v="Paris"/>
    <x v="8"/>
    <s v="Remy Monet"/>
  </r>
  <r>
    <x v="121"/>
    <x v="26"/>
    <s v="Chicken Sandwiches"/>
    <n v="9.95"/>
    <n v="201.01"/>
    <s v="Online "/>
    <s v=" Credit Card"/>
    <s v="Remy Monet"/>
    <s v="Paris"/>
    <x v="4"/>
    <s v="Remy Monet"/>
  </r>
  <r>
    <x v="122"/>
    <x v="26"/>
    <s v="Fries"/>
    <n v="3.49"/>
    <n v="630.37"/>
    <s v="Online "/>
    <s v=" Credit Card"/>
    <s v="Tom Jackson"/>
    <s v="London"/>
    <x v="7"/>
    <s v="Tom Jackson"/>
  </r>
  <r>
    <x v="123"/>
    <x v="26"/>
    <s v="Beverages"/>
    <n v="2.95"/>
    <n v="677.97"/>
    <s v="Online "/>
    <s v=" Credit Card"/>
    <s v="Tom Jackson"/>
    <s v="London"/>
    <x v="6"/>
    <s v="Tom Jackson"/>
  </r>
  <r>
    <x v="124"/>
    <x v="26"/>
    <s v="Sides &amp; Other"/>
    <n v="4.99"/>
    <n v="200.4"/>
    <s v="Online "/>
    <s v=" Credit Card"/>
    <s v="Tom Jackson"/>
    <s v="London"/>
    <x v="2"/>
    <s v="Tom Jackson"/>
  </r>
  <r>
    <x v="125"/>
    <x v="27"/>
    <s v="Burgers"/>
    <n v="12.99"/>
    <n v="538.88"/>
    <s v="Online "/>
    <s v=" Credit Card"/>
    <s v="Tom Jackson"/>
    <s v="London"/>
    <x v="12"/>
    <s v="Tom Jackson"/>
  </r>
  <r>
    <x v="126"/>
    <x v="27"/>
    <s v="Chicken Sandwiches"/>
    <n v="9.95"/>
    <n v="201.01"/>
    <s v="Online "/>
    <s v=" Credit Card"/>
    <s v="Tom Jackson"/>
    <s v="London"/>
    <x v="4"/>
    <s v="Tom Jackson"/>
  </r>
  <r>
    <x v="127"/>
    <x v="17"/>
    <s v="Fries"/>
    <n v="3.49"/>
    <n v="630.37"/>
    <s v="Drive-thru "/>
    <s v=" Credit Card"/>
    <s v="Pablo Perez"/>
    <s v="Madrid"/>
    <x v="7"/>
    <s v="Pablo Perez"/>
  </r>
  <r>
    <x v="128"/>
    <x v="17"/>
    <s v="Beverages"/>
    <n v="2.95"/>
    <n v="745.76"/>
    <s v="Drive-thru "/>
    <s v=" Credit Card"/>
    <s v="Pablo Perez"/>
    <s v="Madrid"/>
    <x v="1"/>
    <s v="Pablo Perez"/>
  </r>
  <r>
    <x v="129"/>
    <x v="17"/>
    <s v="Sides &amp; Other"/>
    <n v="4.99"/>
    <n v="200.4"/>
    <s v="Drive-thru "/>
    <s v=" Credit Card"/>
    <s v="Pablo Perez"/>
    <s v="Madrid"/>
    <x v="2"/>
    <s v="Pablo Perez"/>
  </r>
  <r>
    <x v="130"/>
    <x v="28"/>
    <s v="Burgers"/>
    <n v="12.99"/>
    <n v="554.27"/>
    <s v="Online "/>
    <s v=" Credit Card"/>
    <s v="Tom Jackson"/>
    <s v="London"/>
    <x v="5"/>
    <s v="Tom Jackson"/>
  </r>
  <r>
    <x v="131"/>
    <x v="28"/>
    <s v="Chicken Sandwiches"/>
    <n v="9.95"/>
    <n v="201.01"/>
    <s v="Online "/>
    <s v=" Credit Card"/>
    <s v="Tom Jackson"/>
    <s v="London"/>
    <x v="4"/>
    <s v="Tom Jackson"/>
  </r>
  <r>
    <x v="132"/>
    <x v="28"/>
    <s v="Fries"/>
    <n v="3.49"/>
    <n v="573.07"/>
    <s v="Online "/>
    <s v=" Credit Card"/>
    <s v="Tom Jackson"/>
    <s v="London"/>
    <x v="0"/>
    <s v="Tom Jackson"/>
  </r>
  <r>
    <x v="133"/>
    <x v="28"/>
    <s v="Beverages"/>
    <n v="2.95"/>
    <n v="677.97"/>
    <s v="Online "/>
    <s v=" Credit Card"/>
    <s v="Tom Jackson"/>
    <s v="London"/>
    <x v="6"/>
    <s v="Tom Jackson"/>
  </r>
  <r>
    <x v="134"/>
    <x v="28"/>
    <s v="Sides &amp; Other"/>
    <n v="4.99"/>
    <n v="200.4"/>
    <s v="Online "/>
    <s v=" Credit Card"/>
    <s v="Tom Jackson"/>
    <s v="London"/>
    <x v="2"/>
    <s v="Tom Jackson"/>
  </r>
  <r>
    <x v="135"/>
    <x v="29"/>
    <s v="Burgers"/>
    <n v="12.99"/>
    <n v="538.88"/>
    <s v="Online "/>
    <s v=" Credit Card"/>
    <s v="Tom Jackson"/>
    <s v="London"/>
    <x v="12"/>
    <s v="Tom Jackson"/>
  </r>
  <r>
    <x v="136"/>
    <x v="29"/>
    <s v="Chicken Sandwiches"/>
    <n v="9.95"/>
    <n v="201.01"/>
    <s v="Online "/>
    <s v=" Credit Card"/>
    <s v="Tom Jackson"/>
    <s v="London"/>
    <x v="4"/>
    <s v="Tom Jackson"/>
  </r>
  <r>
    <x v="137"/>
    <x v="29"/>
    <s v="Fries"/>
    <n v="3.49"/>
    <n v="573.07"/>
    <s v="Online "/>
    <s v=" Credit Card"/>
    <s v="Tom Jackson"/>
    <s v="London"/>
    <x v="0"/>
    <s v="Tom Jackson"/>
  </r>
  <r>
    <x v="138"/>
    <x v="29"/>
    <s v="Beverages"/>
    <n v="2.95"/>
    <n v="677.97"/>
    <s v="Online "/>
    <s v=" Credit Card"/>
    <s v="Tom Jackson"/>
    <s v="London"/>
    <x v="6"/>
    <s v="Tom Jackson"/>
  </r>
  <r>
    <x v="139"/>
    <x v="29"/>
    <s v="Sides &amp; Other"/>
    <n v="4.99"/>
    <n v="200.4"/>
    <s v="Online "/>
    <s v=" Credit Card"/>
    <s v="Tom Jackson"/>
    <s v="London"/>
    <x v="2"/>
    <s v="Tom Jackson"/>
  </r>
  <r>
    <x v="140"/>
    <x v="30"/>
    <s v="Burgers"/>
    <n v="12.99"/>
    <n v="523.48"/>
    <s v="Online "/>
    <s v=" Credit Card"/>
    <s v="Tom Jackson"/>
    <s v="London"/>
    <x v="8"/>
    <s v="Tom Jackson"/>
  </r>
  <r>
    <x v="141"/>
    <x v="30"/>
    <s v="Chicken Sandwiches"/>
    <n v="9.95"/>
    <n v="201.01"/>
    <s v="Online "/>
    <s v=" Credit Card"/>
    <s v="Tom Jackson"/>
    <s v="London"/>
    <x v="4"/>
    <s v="Tom Jackson"/>
  </r>
  <r>
    <x v="142"/>
    <x v="30"/>
    <s v="Fries"/>
    <n v="3.49"/>
    <n v="630.37"/>
    <s v="Online "/>
    <s v=" Cash"/>
    <s v="Tom Jackson"/>
    <s v="London"/>
    <x v="7"/>
    <s v="Tom Jackson"/>
  </r>
  <r>
    <x v="143"/>
    <x v="30"/>
    <s v="Beverages"/>
    <n v="2.95"/>
    <n v="677.97"/>
    <s v="Online "/>
    <s v=" Cash"/>
    <s v="Tom Jackson"/>
    <s v="London"/>
    <x v="6"/>
    <s v="Tom Jackson"/>
  </r>
  <r>
    <x v="144"/>
    <x v="30"/>
    <s v="Sides &amp; Other"/>
    <n v="4.99"/>
    <n v="200.4"/>
    <s v="Online "/>
    <s v=" Cash"/>
    <s v="Tom Jackson"/>
    <s v="London"/>
    <x v="2"/>
    <s v="Tom Jackson"/>
  </r>
  <r>
    <x v="145"/>
    <x v="31"/>
    <s v="Burgers"/>
    <n v="12.99"/>
    <n v="538.88"/>
    <s v="Online "/>
    <s v=" Cash"/>
    <s v="Tom Jackson"/>
    <s v="London"/>
    <x v="12"/>
    <s v="Tom Jackson"/>
  </r>
  <r>
    <x v="146"/>
    <x v="31"/>
    <s v="Chicken Sandwiches"/>
    <n v="9.95"/>
    <n v="201.01"/>
    <s v="Online "/>
    <s v=" Cash"/>
    <s v="Tom Jackson"/>
    <s v="London"/>
    <x v="4"/>
    <s v="Tom Jackson"/>
  </r>
  <r>
    <x v="147"/>
    <x v="31"/>
    <s v="Fries"/>
    <n v="3.49"/>
    <n v="630.37"/>
    <s v="Online "/>
    <s v=" Cash"/>
    <s v="Tom Jackson"/>
    <s v="London"/>
    <x v="7"/>
    <s v="Tom Jackson"/>
  </r>
  <r>
    <x v="148"/>
    <x v="31"/>
    <s v="Beverages"/>
    <n v="2.95"/>
    <n v="677.97"/>
    <s v="Online "/>
    <s v=" Gift Card"/>
    <s v="Tom Jackson"/>
    <s v="London"/>
    <x v="6"/>
    <s v="Tom Jackson"/>
  </r>
  <r>
    <x v="149"/>
    <x v="31"/>
    <s v="Sides &amp; Other"/>
    <n v="4.99"/>
    <n v="200.4"/>
    <s v="Online "/>
    <s v=" Gift Card"/>
    <s v="Tom Jackson"/>
    <s v="London"/>
    <x v="2"/>
    <s v="Tom Jackson"/>
  </r>
  <r>
    <x v="150"/>
    <x v="32"/>
    <s v="Burgers"/>
    <n v="12.99"/>
    <n v="569.67"/>
    <s v="Online "/>
    <s v=" Gift Card"/>
    <s v="Tom Jackson"/>
    <s v="London"/>
    <x v="3"/>
    <s v="Tom Jackson"/>
  </r>
  <r>
    <x v="151"/>
    <x v="32"/>
    <s v="Chicken Sandwiches"/>
    <n v="9.95"/>
    <n v="201.01"/>
    <s v="Online "/>
    <s v=" Gift Card"/>
    <s v="Tom Jackson"/>
    <s v="London"/>
    <x v="4"/>
    <s v="Tom Jackson"/>
  </r>
  <r>
    <x v="152"/>
    <x v="32"/>
    <s v="Fries"/>
    <n v="3.49"/>
    <n v="630.37"/>
    <s v="Online "/>
    <s v=" Gift Card"/>
    <s v="Tom Jackson"/>
    <s v="London"/>
    <x v="7"/>
    <s v="Tom Jackson"/>
  </r>
  <r>
    <x v="153"/>
    <x v="32"/>
    <s v="Beverages"/>
    <n v="2.95"/>
    <n v="677.97"/>
    <s v="Online "/>
    <s v=" Gift Card"/>
    <s v="Tom Jackson"/>
    <s v="London"/>
    <x v="6"/>
    <s v="Tom Jackson"/>
  </r>
  <r>
    <x v="154"/>
    <x v="32"/>
    <s v="Sides &amp; Other"/>
    <n v="4.99"/>
    <n v="200.4"/>
    <s v="Online "/>
    <s v=" Gift Card"/>
    <s v="Tom Jackson"/>
    <s v="London"/>
    <x v="2"/>
    <s v="Tom Jackson"/>
  </r>
  <r>
    <x v="155"/>
    <x v="33"/>
    <s v="Burgers"/>
    <n v="12.99"/>
    <n v="569.67"/>
    <s v="Online "/>
    <s v=" Gift Card"/>
    <s v="Tom Jackson"/>
    <s v="London"/>
    <x v="3"/>
    <s v="Tom Jackson"/>
  </r>
  <r>
    <x v="156"/>
    <x v="33"/>
    <s v="Chicken Sandwiches"/>
    <n v="9.95"/>
    <n v="201.01"/>
    <s v="Online "/>
    <s v=" Gift Card"/>
    <s v="Tom Jackson"/>
    <s v="London"/>
    <x v="4"/>
    <s v="Tom Jackson"/>
  </r>
  <r>
    <x v="157"/>
    <x v="33"/>
    <s v="Fries"/>
    <n v="3.49"/>
    <n v="630.37"/>
    <s v="Online "/>
    <s v=" Gift Card"/>
    <s v="Tom Jackson"/>
    <s v="London"/>
    <x v="7"/>
    <s v="Tom Jackson"/>
  </r>
  <r>
    <x v="158"/>
    <x v="33"/>
    <s v="Beverages"/>
    <n v="2.95"/>
    <n v="677.97"/>
    <s v="Online "/>
    <s v=" Gift Card"/>
    <s v="Tom Jackson"/>
    <s v="London"/>
    <x v="6"/>
    <s v="Tom Jackson"/>
  </r>
  <r>
    <x v="159"/>
    <x v="33"/>
    <s v="Sides &amp; Other"/>
    <n v="4.99"/>
    <n v="200.4"/>
    <s v="Online "/>
    <s v=" Gift Card"/>
    <s v="Tom Jackson"/>
    <s v="London"/>
    <x v="2"/>
    <s v="Tom Jackson"/>
  </r>
  <r>
    <x v="160"/>
    <x v="34"/>
    <s v="Burgers"/>
    <n v="12.99"/>
    <n v="585.07"/>
    <s v="Online "/>
    <s v=" Gift Card"/>
    <s v="Tom Jackson"/>
    <s v="London"/>
    <x v="18"/>
    <s v="Tom Jackson"/>
  </r>
  <r>
    <x v="161"/>
    <x v="34"/>
    <s v="Chicken Sandwiches"/>
    <n v="9.95"/>
    <n v="201.01"/>
    <s v="Online "/>
    <s v=" Gift Card"/>
    <s v="Tom Jackson"/>
    <s v="London"/>
    <x v="4"/>
    <s v="Tom Jackson"/>
  </r>
  <r>
    <x v="162"/>
    <x v="34"/>
    <s v="Fries"/>
    <n v="3.49"/>
    <n v="630.37"/>
    <s v="Online "/>
    <s v=" Gift Card"/>
    <s v="Tom Jackson"/>
    <s v="London"/>
    <x v="7"/>
    <s v="Tom Jackson"/>
  </r>
  <r>
    <x v="163"/>
    <x v="34"/>
    <s v="Beverages"/>
    <n v="2.95"/>
    <n v="745.76"/>
    <s v="Online "/>
    <s v=" Gift Card"/>
    <s v="Tom Jackson"/>
    <s v="London"/>
    <x v="1"/>
    <s v="Tom Jackson"/>
  </r>
  <r>
    <x v="164"/>
    <x v="34"/>
    <s v="Sides &amp; Other"/>
    <n v="4.99"/>
    <n v="200.4"/>
    <s v="Online "/>
    <s v=" Gift Card"/>
    <s v="Tom Jackson"/>
    <s v="London"/>
    <x v="2"/>
    <s v="Tom Jackson"/>
  </r>
  <r>
    <x v="165"/>
    <x v="35"/>
    <s v="Burgers"/>
    <n v="12.99"/>
    <n v="569.67"/>
    <s v="Online "/>
    <s v=" Gift Card"/>
    <s v="Tom Jackson"/>
    <s v="London"/>
    <x v="3"/>
    <s v="Tom Jackson"/>
  </r>
  <r>
    <x v="166"/>
    <x v="35"/>
    <s v="Chicken Sandwiches"/>
    <n v="9.95"/>
    <n v="201.01"/>
    <s v="Online "/>
    <s v=" Gift Card"/>
    <s v="Tom Jackson"/>
    <s v="London"/>
    <x v="4"/>
    <s v="Tom Jackson"/>
  </r>
  <r>
    <x v="167"/>
    <x v="35"/>
    <s v="Fries"/>
    <n v="3.49"/>
    <n v="630.37"/>
    <s v="Online "/>
    <s v=" Gift Card"/>
    <s v="Tom Jackson"/>
    <s v="London"/>
    <x v="7"/>
    <s v="Tom Jackson"/>
  </r>
  <r>
    <x v="168"/>
    <x v="35"/>
    <s v="Beverages"/>
    <n v="2.95"/>
    <n v="677.97"/>
    <s v="Online "/>
    <s v=" Gift Card"/>
    <s v="Joao Silva"/>
    <s v="Lisbon"/>
    <x v="6"/>
    <s v="Joao Silva"/>
  </r>
  <r>
    <x v="169"/>
    <x v="35"/>
    <s v="Sides &amp; Other"/>
    <n v="4.99"/>
    <n v="200.4"/>
    <s v="Online "/>
    <s v=" Gift Card"/>
    <s v="Joao Silva"/>
    <s v="Lisbon"/>
    <x v="2"/>
    <s v="Joao Silva"/>
  </r>
  <r>
    <x v="170"/>
    <x v="36"/>
    <s v="Burgers"/>
    <n v="12.99"/>
    <n v="569.67"/>
    <s v="Online "/>
    <s v=" Cash"/>
    <s v="Joao Silva"/>
    <s v="Lisbon"/>
    <x v="3"/>
    <s v="Joao Silva"/>
  </r>
  <r>
    <x v="171"/>
    <x v="36"/>
    <s v="Chicken Sandwiches"/>
    <n v="9.95"/>
    <n v="201.01"/>
    <s v="Online "/>
    <s v=" Gift Card"/>
    <s v="Joao Silva"/>
    <s v="Lisbon"/>
    <x v="4"/>
    <s v="Joao Silva"/>
  </r>
  <r>
    <x v="172"/>
    <x v="36"/>
    <s v="Fries"/>
    <n v="3.49"/>
    <n v="630.37"/>
    <s v="Online "/>
    <s v=" Gift Card"/>
    <s v="Joao Silva"/>
    <s v="Lisbon"/>
    <x v="7"/>
    <s v="Joao Silva"/>
  </r>
  <r>
    <x v="173"/>
    <x v="36"/>
    <s v="Beverages"/>
    <n v="2.95"/>
    <n v="677.97"/>
    <s v="Online "/>
    <s v=" Gift Card"/>
    <s v="Joao Silva"/>
    <s v="Lisbon"/>
    <x v="6"/>
    <s v="Joao Silva"/>
  </r>
  <r>
    <x v="174"/>
    <x v="36"/>
    <s v="Sides &amp; Other"/>
    <n v="4.99"/>
    <n v="200.4"/>
    <s v="Online "/>
    <s v=" Gift Card"/>
    <s v="Joao Silva"/>
    <s v="Lisbon"/>
    <x v="2"/>
    <s v="Joao Silva"/>
  </r>
  <r>
    <x v="175"/>
    <x v="37"/>
    <s v="Burgers"/>
    <n v="12.99"/>
    <n v="554.27"/>
    <s v="Online "/>
    <s v=" Gift Card"/>
    <s v="Joao Silva"/>
    <s v="Lisbon"/>
    <x v="5"/>
    <s v="Joao Silva"/>
  </r>
  <r>
    <x v="176"/>
    <x v="37"/>
    <s v="Chicken Sandwiches"/>
    <n v="9.95"/>
    <n v="221.11"/>
    <s v="Online "/>
    <s v=" Gift Card"/>
    <s v="Joao Silva"/>
    <s v="Lisbon"/>
    <x v="19"/>
    <s v="Joao Silva"/>
  </r>
  <r>
    <x v="177"/>
    <x v="37"/>
    <s v="Fries"/>
    <n v="3.49"/>
    <n v="630.37"/>
    <s v="Online "/>
    <s v=" Gift Card"/>
    <s v="Joao Silva"/>
    <s v="Lisbon"/>
    <x v="7"/>
    <s v="Joao Silva"/>
  </r>
  <r>
    <x v="178"/>
    <x v="37"/>
    <s v="Beverages"/>
    <n v="2.95"/>
    <n v="677.97"/>
    <s v="Online "/>
    <s v=" Gift Card"/>
    <s v="Joao Silva"/>
    <s v="Lisbon"/>
    <x v="6"/>
    <s v="Joao Silva"/>
  </r>
  <r>
    <x v="179"/>
    <x v="37"/>
    <s v="Sides &amp; Other"/>
    <n v="4.99"/>
    <n v="200.4"/>
    <s v="Online "/>
    <s v=" Gift Card"/>
    <s v="Joao Silva"/>
    <s v="Lisbon"/>
    <x v="2"/>
    <s v="Joao Silva"/>
  </r>
  <r>
    <x v="180"/>
    <x v="38"/>
    <s v="Burgers"/>
    <n v="12.99"/>
    <n v="538.88"/>
    <s v="Online "/>
    <s v=" Gift Card"/>
    <s v="Joao Silva"/>
    <s v="Lisbon"/>
    <x v="12"/>
    <s v="Joao Silva"/>
  </r>
  <r>
    <x v="181"/>
    <x v="38"/>
    <s v="Chicken Sandwiches"/>
    <n v="9.95"/>
    <n v="221.11"/>
    <s v="Online "/>
    <s v=" Gift Card"/>
    <s v="Joao Silva"/>
    <s v="Lisbon"/>
    <x v="19"/>
    <s v="Joao Silva"/>
  </r>
  <r>
    <x v="182"/>
    <x v="38"/>
    <s v="Fries"/>
    <n v="3.49"/>
    <n v="630.37"/>
    <s v="Online "/>
    <s v=" Cash"/>
    <s v="Joao Silva"/>
    <s v="Lisbon"/>
    <x v="7"/>
    <s v="Joao Silva"/>
  </r>
  <r>
    <x v="183"/>
    <x v="38"/>
    <s v="Beverages"/>
    <n v="2.95"/>
    <n v="677.97"/>
    <s v="Online "/>
    <s v=" Cash"/>
    <s v="Joao Silva"/>
    <s v="Lisbon"/>
    <x v="6"/>
    <s v="Joao Silva"/>
  </r>
  <r>
    <x v="184"/>
    <x v="38"/>
    <s v="Sides &amp; Other"/>
    <n v="4.99"/>
    <n v="200.4"/>
    <s v="Online "/>
    <s v=" Cash"/>
    <s v="Joao Silva"/>
    <s v="Lisbon"/>
    <x v="2"/>
    <s v="Joao Silva"/>
  </r>
  <r>
    <x v="185"/>
    <x v="39"/>
    <s v="Burgers"/>
    <n v="12.99"/>
    <n v="569.67"/>
    <s v="Online "/>
    <s v=" Cash"/>
    <s v="Joao Silva"/>
    <s v="Lisbon"/>
    <x v="3"/>
    <s v="Joao Silva"/>
  </r>
  <r>
    <x v="186"/>
    <x v="39"/>
    <s v="Chicken Sandwiches"/>
    <n v="9.95"/>
    <n v="221.11"/>
    <s v="Online "/>
    <s v=" Cash"/>
    <s v="Joao Silva"/>
    <s v="Lisbon"/>
    <x v="19"/>
    <s v="Joao Silva"/>
  </r>
  <r>
    <x v="187"/>
    <x v="39"/>
    <s v="Fries"/>
    <n v="3.49"/>
    <n v="630.37"/>
    <s v="Online "/>
    <s v=" Gift Card"/>
    <s v="Joao Silva"/>
    <s v="Lisbon"/>
    <x v="7"/>
    <s v="Joao Silva"/>
  </r>
  <r>
    <x v="188"/>
    <x v="39"/>
    <s v="Beverages"/>
    <n v="2.95"/>
    <n v="745.76"/>
    <s v="Online "/>
    <s v=" Gift Card"/>
    <s v="Joao Silva"/>
    <s v="Lisbon"/>
    <x v="1"/>
    <s v="Joao Silva"/>
  </r>
  <r>
    <x v="189"/>
    <x v="39"/>
    <s v="Sides &amp; Other"/>
    <n v="4.99"/>
    <n v="200.4"/>
    <s v="Online "/>
    <s v=" Gift Card"/>
    <s v="Joao Silva"/>
    <s v="Lisbon"/>
    <x v="2"/>
    <s v="Joao Silva"/>
  </r>
  <r>
    <x v="190"/>
    <x v="40"/>
    <s v="Burgers"/>
    <n v="12.99"/>
    <n v="585.07"/>
    <s v="Online "/>
    <s v=" Gift Card"/>
    <s v="Joao Silva"/>
    <s v="Lisbon"/>
    <x v="18"/>
    <s v="Joao Silva"/>
  </r>
  <r>
    <x v="191"/>
    <x v="40"/>
    <s v="Chicken Sandwiches"/>
    <n v="9.95"/>
    <n v="221.11"/>
    <s v="Online "/>
    <s v=" Gift Card"/>
    <s v="Joao Silva"/>
    <s v="Lisbon"/>
    <x v="19"/>
    <s v="Joao Silva"/>
  </r>
  <r>
    <x v="192"/>
    <x v="40"/>
    <s v="Fries"/>
    <n v="3.49"/>
    <n v="687.68"/>
    <s v="Online "/>
    <s v=" Gift Card"/>
    <s v="Joao Silva"/>
    <s v="Lisbon"/>
    <x v="13"/>
    <s v="Joao Silva"/>
  </r>
  <r>
    <x v="193"/>
    <x v="40"/>
    <s v="Beverages"/>
    <n v="2.95"/>
    <n v="745.76"/>
    <s v="Online "/>
    <s v=" Gift Card"/>
    <s v="Joao Silva"/>
    <s v="Lisbon"/>
    <x v="1"/>
    <s v="Joao Silva"/>
  </r>
  <r>
    <x v="194"/>
    <x v="40"/>
    <s v="Sides &amp; Other"/>
    <n v="4.99"/>
    <n v="200.4"/>
    <s v="Online "/>
    <s v=" Gift Card"/>
    <s v="Joao Silva"/>
    <s v="Lisbon"/>
    <x v="2"/>
    <s v="Joao Silva"/>
  </r>
  <r>
    <x v="195"/>
    <x v="41"/>
    <s v="Burgers"/>
    <n v="12.99"/>
    <n v="600.46"/>
    <s v="Online "/>
    <s v=" Gift Card"/>
    <s v="Joao Silva"/>
    <s v="Lisbon"/>
    <x v="20"/>
    <s v="Joao Silva"/>
  </r>
  <r>
    <x v="196"/>
    <x v="41"/>
    <s v="Chicken Sandwiches"/>
    <n v="9.95"/>
    <n v="221.11"/>
    <s v="Online "/>
    <s v=" Gift Card"/>
    <s v="Joao Silva"/>
    <s v="Lisbon"/>
    <x v="19"/>
    <s v="Joao Silva"/>
  </r>
  <r>
    <x v="197"/>
    <x v="41"/>
    <s v="Fries"/>
    <n v="3.49"/>
    <n v="687.68"/>
    <s v="Online "/>
    <s v=" Gift Card"/>
    <s v="Joao Silva"/>
    <s v="Lisbon"/>
    <x v="13"/>
    <s v="Joao Silva"/>
  </r>
  <r>
    <x v="198"/>
    <x v="41"/>
    <s v="Beverages"/>
    <n v="2.95"/>
    <n v="745.76"/>
    <s v="Online "/>
    <s v=" Cash"/>
    <s v="Joao Silva"/>
    <s v="Lisbon"/>
    <x v="1"/>
    <s v="Joao Silva"/>
  </r>
  <r>
    <x v="199"/>
    <x v="41"/>
    <s v="Sides &amp; Other"/>
    <n v="4.99"/>
    <n v="200.4"/>
    <s v="Online "/>
    <s v=" Cash"/>
    <s v="Joao Silva"/>
    <s v="Lisbon"/>
    <x v="2"/>
    <s v="Joao Silva"/>
  </r>
  <r>
    <x v="200"/>
    <x v="42"/>
    <s v="Burgers"/>
    <n v="12.99"/>
    <n v="631.25"/>
    <s v="In-store "/>
    <s v=" Cash"/>
    <s v="Joao Silva"/>
    <s v="Lisbon"/>
    <x v="21"/>
    <s v="Joao Silva"/>
  </r>
  <r>
    <x v="201"/>
    <x v="42"/>
    <s v="Chicken Sandwiches"/>
    <n v="9.95"/>
    <n v="221.11"/>
    <s v="In-store "/>
    <s v=" Cash"/>
    <s v="Joao Silva"/>
    <s v="Lisbon"/>
    <x v="19"/>
    <s v="Joao Silva"/>
  </r>
  <r>
    <x v="202"/>
    <x v="42"/>
    <s v="Fries"/>
    <n v="3.49"/>
    <n v="630.37"/>
    <s v="In-store "/>
    <s v=" Cash"/>
    <s v="Joao Silva"/>
    <s v="Lisbon"/>
    <x v="7"/>
    <s v="Joao Silva"/>
  </r>
  <r>
    <x v="203"/>
    <x v="42"/>
    <s v="Beverages"/>
    <n v="2.95"/>
    <n v="745.76"/>
    <s v="In-store "/>
    <s v=" Cash"/>
    <s v="Joao Silva"/>
    <s v="Lisbon"/>
    <x v="1"/>
    <s v="Joao Silva"/>
  </r>
  <r>
    <x v="204"/>
    <x v="42"/>
    <s v="Sides &amp; Other"/>
    <n v="4.99"/>
    <n v="200.4"/>
    <s v="In-store "/>
    <s v=" Cash"/>
    <s v="Joao Silva"/>
    <s v="Lisbon"/>
    <x v="2"/>
    <s v="Joao Silva"/>
  </r>
  <r>
    <x v="205"/>
    <x v="43"/>
    <s v="Burgers"/>
    <n v="12.99"/>
    <n v="646.65"/>
    <s v="In-store "/>
    <s v=" Cash"/>
    <s v="Joao Silva"/>
    <s v="Lisbon"/>
    <x v="22"/>
    <s v="Joao Silva"/>
  </r>
  <r>
    <x v="206"/>
    <x v="43"/>
    <s v="Chicken Sandwiches"/>
    <n v="9.95"/>
    <n v="221.11"/>
    <s v="In-store "/>
    <s v=" Cash"/>
    <s v="Joao Silva"/>
    <s v="Lisbon"/>
    <x v="19"/>
    <s v="Joao Silva"/>
  </r>
  <r>
    <x v="207"/>
    <x v="43"/>
    <s v="Fries"/>
    <n v="3.49"/>
    <n v="630.37"/>
    <s v="In-store "/>
    <s v=" Cash"/>
    <s v="Joao Silva"/>
    <s v="Lisbon"/>
    <x v="7"/>
    <s v="Joao Silva"/>
  </r>
  <r>
    <x v="208"/>
    <x v="43"/>
    <s v="Beverages"/>
    <n v="2.95"/>
    <n v="745.76"/>
    <s v="In-store "/>
    <s v=" Cash"/>
    <s v="Joao Silva"/>
    <s v="Lisbon"/>
    <x v="1"/>
    <s v="Joao Silva"/>
  </r>
  <r>
    <x v="209"/>
    <x v="43"/>
    <s v="Sides &amp; Other"/>
    <n v="4.99"/>
    <n v="200.4"/>
    <s v="In-store "/>
    <s v=" Cash"/>
    <s v="Joao Silva"/>
    <s v="Lisbon"/>
    <x v="2"/>
    <s v="Joao Silva"/>
  </r>
  <r>
    <x v="210"/>
    <x v="44"/>
    <s v="Burgers"/>
    <n v="12.99"/>
    <n v="677.44"/>
    <s v="In-store "/>
    <s v=" Cash"/>
    <s v="Joao Silva"/>
    <s v="Lisbon"/>
    <x v="23"/>
    <s v="Joao Silva"/>
  </r>
  <r>
    <x v="211"/>
    <x v="44"/>
    <s v="Chicken Sandwiches"/>
    <n v="9.95"/>
    <n v="221.11"/>
    <s v="In-store "/>
    <s v=" Cash"/>
    <s v="Joao Silva"/>
    <s v="Lisbon"/>
    <x v="19"/>
    <s v="Joao Silva"/>
  </r>
  <r>
    <x v="212"/>
    <x v="44"/>
    <s v="Fries"/>
    <n v="3.49"/>
    <n v="630.37"/>
    <s v="In-store "/>
    <s v=" Cash"/>
    <s v="Joao Silva"/>
    <s v="Lisbon"/>
    <x v="7"/>
    <s v="Joao Silva"/>
  </r>
  <r>
    <x v="213"/>
    <x v="44"/>
    <s v="Beverages"/>
    <n v="2.95"/>
    <n v="745.76"/>
    <s v="In-store "/>
    <s v=" Cash"/>
    <s v="Joao Silva"/>
    <s v="Lisbon"/>
    <x v="1"/>
    <s v="Joao Silva"/>
  </r>
  <r>
    <x v="214"/>
    <x v="44"/>
    <s v="Sides &amp; Other"/>
    <n v="4.99"/>
    <n v="200.4"/>
    <s v="In-store "/>
    <s v=" Cash"/>
    <s v="Joao Silva"/>
    <s v="Lisbon"/>
    <x v="2"/>
    <s v="Joao Silva"/>
  </r>
  <r>
    <x v="215"/>
    <x v="45"/>
    <s v="Burgers"/>
    <n v="12.99"/>
    <n v="677.44"/>
    <s v="In-store "/>
    <s v=" Cash"/>
    <s v="Joao Silva"/>
    <s v="Lisbon"/>
    <x v="23"/>
    <s v="Joao Silva"/>
  </r>
  <r>
    <x v="216"/>
    <x v="45"/>
    <s v="Chicken Sandwiches"/>
    <n v="9.95"/>
    <n v="241.21"/>
    <s v="In-store "/>
    <s v=" Cash"/>
    <s v="Joao Silva"/>
    <s v="Lisbon"/>
    <x v="24"/>
    <s v="Joao Silva"/>
  </r>
  <r>
    <x v="217"/>
    <x v="45"/>
    <s v="Fries"/>
    <n v="3.49"/>
    <n v="630.37"/>
    <s v="In-store "/>
    <s v=" Cash"/>
    <s v="Joao Silva"/>
    <s v="Lisbon"/>
    <x v="7"/>
    <s v="Joao Silva"/>
  </r>
  <r>
    <x v="218"/>
    <x v="45"/>
    <s v="Beverages"/>
    <n v="2.95"/>
    <n v="745.76"/>
    <s v="In-store "/>
    <s v=" Cash"/>
    <s v="Joao Silva"/>
    <s v="Lisbon"/>
    <x v="1"/>
    <s v="Joao Silva"/>
  </r>
  <r>
    <x v="219"/>
    <x v="45"/>
    <s v="Sides &amp; Other"/>
    <n v="4.99"/>
    <n v="200.4"/>
    <s v="In-store "/>
    <s v=" Cash"/>
    <s v="Joao Silva"/>
    <s v="Lisbon"/>
    <x v="2"/>
    <s v="Joao Silva"/>
  </r>
  <r>
    <x v="220"/>
    <x v="46"/>
    <s v="Burgers"/>
    <n v="12.99"/>
    <n v="646.65"/>
    <s v="In-store "/>
    <s v=" Cash"/>
    <s v="Joao Silva"/>
    <s v="Lisbon"/>
    <x v="22"/>
    <s v="Joao Silva"/>
  </r>
  <r>
    <x v="221"/>
    <x v="46"/>
    <s v="Chicken Sandwiches"/>
    <n v="9.95"/>
    <n v="241.21"/>
    <s v="In-store "/>
    <s v=" Cash"/>
    <s v="Joao Silva"/>
    <s v="Lisbon"/>
    <x v="24"/>
    <s v="Joao Silva"/>
  </r>
  <r>
    <x v="222"/>
    <x v="46"/>
    <s v="Fries"/>
    <n v="3.49"/>
    <n v="630.37"/>
    <s v="In-store "/>
    <s v=" Cash"/>
    <s v="Joao Silva"/>
    <s v="Lisbon"/>
    <x v="7"/>
    <s v="Joao Silva"/>
  </r>
  <r>
    <x v="223"/>
    <x v="46"/>
    <s v="Beverages"/>
    <n v="2.95"/>
    <n v="677.97"/>
    <s v="In-store "/>
    <s v=" Cash"/>
    <s v="Joao Silva"/>
    <s v="Lisbon"/>
    <x v="6"/>
    <s v="Joao Silva"/>
  </r>
  <r>
    <x v="224"/>
    <x v="46"/>
    <s v="Sides &amp; Other"/>
    <n v="4.99"/>
    <n v="200.4"/>
    <s v="In-store "/>
    <s v=" Cash"/>
    <s v="Joao Silva"/>
    <s v="Lisbon"/>
    <x v="2"/>
    <s v="Joao Silva"/>
  </r>
  <r>
    <x v="225"/>
    <x v="47"/>
    <s v="Burgers"/>
    <n v="12.99"/>
    <n v="677.44"/>
    <s v="In-store "/>
    <s v=" Cash"/>
    <s v="Joao Silva"/>
    <s v="Lisbon"/>
    <x v="23"/>
    <s v="Joao Silva"/>
  </r>
  <r>
    <x v="226"/>
    <x v="47"/>
    <s v="Chicken Sandwiches"/>
    <n v="9.95"/>
    <n v="241.21"/>
    <s v="In-store "/>
    <s v=" Cash"/>
    <s v="Joao Silva"/>
    <s v="Lisbon"/>
    <x v="24"/>
    <s v="Joao Silva"/>
  </r>
  <r>
    <x v="227"/>
    <x v="47"/>
    <s v="Fries"/>
    <n v="3.49"/>
    <n v="630.37"/>
    <s v="In-store "/>
    <s v=" Cash"/>
    <s v="Walter Muller"/>
    <s v="Berlin"/>
    <x v="7"/>
    <s v="Walter Muller"/>
  </r>
  <r>
    <x v="228"/>
    <x v="47"/>
    <s v="Beverages"/>
    <n v="2.95"/>
    <n v="677.97"/>
    <s v="In-store "/>
    <s v=" Cash"/>
    <s v="Walter Muller"/>
    <s v="Berlin"/>
    <x v="6"/>
    <s v="Walter Muller"/>
  </r>
  <r>
    <x v="229"/>
    <x v="47"/>
    <s v="Sides &amp; Other"/>
    <n v="4.99"/>
    <n v="200.4"/>
    <s v="In-store "/>
    <s v=" Cash"/>
    <s v="Walter Muller"/>
    <s v="Berlin"/>
    <x v="2"/>
    <s v="Walter Muller"/>
  </r>
  <r>
    <x v="230"/>
    <x v="48"/>
    <s v="Burgers"/>
    <n v="12.99"/>
    <n v="677.44"/>
    <s v="In-store "/>
    <s v=" Cash"/>
    <s v="Walter Muller"/>
    <s v="Berlin"/>
    <x v="23"/>
    <s v="Walter Muller"/>
  </r>
  <r>
    <x v="231"/>
    <x v="48"/>
    <s v="Chicken Sandwiches"/>
    <n v="9.95"/>
    <n v="261.31"/>
    <s v="In-store "/>
    <s v=" Cash"/>
    <s v="Walter Muller"/>
    <s v="Berlin"/>
    <x v="25"/>
    <s v="Walter Muller"/>
  </r>
  <r>
    <x v="232"/>
    <x v="48"/>
    <s v="Fries"/>
    <n v="3.49"/>
    <n v="630.37"/>
    <s v="In-store "/>
    <s v=" Cash"/>
    <s v="Walter Muller"/>
    <s v="Berlin"/>
    <x v="7"/>
    <s v="Walter Muller"/>
  </r>
  <r>
    <x v="233"/>
    <x v="48"/>
    <s v="Beverages"/>
    <n v="2.95"/>
    <n v="677.97"/>
    <s v="In-store "/>
    <s v=" Cash"/>
    <s v="Walter Muller"/>
    <s v="Berlin"/>
    <x v="6"/>
    <s v="Walter Muller"/>
  </r>
  <r>
    <x v="234"/>
    <x v="48"/>
    <s v="Sides &amp; Other"/>
    <n v="4.99"/>
    <n v="200.4"/>
    <s v="In-store "/>
    <s v=" Cash"/>
    <s v="Walter Muller"/>
    <s v="Berlin"/>
    <x v="2"/>
    <s v="Walter Muller"/>
  </r>
  <r>
    <x v="235"/>
    <x v="49"/>
    <s v="Burgers"/>
    <n v="12.99"/>
    <n v="692.84"/>
    <s v="In-store "/>
    <s v=" Cash"/>
    <s v="Walter Muller"/>
    <s v="Berlin"/>
    <x v="26"/>
    <s v="Walter Muller"/>
  </r>
  <r>
    <x v="236"/>
    <x v="49"/>
    <s v="Chicken Sandwiches"/>
    <n v="9.95"/>
    <n v="281.41"/>
    <s v="In-store "/>
    <s v=" Cash"/>
    <s v="Walter Muller"/>
    <s v="Berlin"/>
    <x v="27"/>
    <s v="Walter Muller"/>
  </r>
  <r>
    <x v="237"/>
    <x v="49"/>
    <s v="Fries"/>
    <n v="3.49"/>
    <n v="630.37"/>
    <s v="In-store "/>
    <s v=" Cash"/>
    <s v="Walter Muller"/>
    <s v="Berlin"/>
    <x v="7"/>
    <s v="Walter Muller"/>
  </r>
  <r>
    <x v="238"/>
    <x v="49"/>
    <s v="Beverages"/>
    <n v="2.95"/>
    <n v="677.97"/>
    <s v="In-store "/>
    <s v=" Cash"/>
    <s v="Walter Muller"/>
    <s v="Berlin"/>
    <x v="6"/>
    <s v="Walter Muller"/>
  </r>
  <r>
    <x v="239"/>
    <x v="49"/>
    <s v="Sides &amp; Other"/>
    <n v="4.99"/>
    <n v="200.4"/>
    <s v="In-store "/>
    <s v=" Cash"/>
    <s v="Walter Muller"/>
    <s v="Berlin"/>
    <x v="2"/>
    <s v="Walter Muller"/>
  </r>
  <r>
    <x v="240"/>
    <x v="50"/>
    <s v="Burgers"/>
    <n v="12.99"/>
    <n v="692.84"/>
    <s v="In-store "/>
    <s v=" Cash"/>
    <s v="Walter Muller"/>
    <s v="Berlin"/>
    <x v="26"/>
    <s v="Walter Muller"/>
  </r>
  <r>
    <x v="241"/>
    <x v="50"/>
    <s v="Chicken Sandwiches"/>
    <n v="9.95"/>
    <n v="281.41"/>
    <s v="In-store "/>
    <s v=" Cash"/>
    <s v="Walter Muller"/>
    <s v="Berlin"/>
    <x v="27"/>
    <s v="Walter Muller"/>
  </r>
  <r>
    <x v="242"/>
    <x v="50"/>
    <s v="Fries"/>
    <n v="3.49"/>
    <n v="630.37"/>
    <s v="In-store "/>
    <s v=" Cash"/>
    <s v="Walter Muller"/>
    <s v="Berlin"/>
    <x v="7"/>
    <s v="Walter Muller"/>
  </r>
  <r>
    <x v="243"/>
    <x v="50"/>
    <s v="Beverages"/>
    <n v="2.95"/>
    <n v="677.97"/>
    <s v="In-store "/>
    <s v=" Gift Card"/>
    <s v="Walter Muller"/>
    <s v="Berlin"/>
    <x v="6"/>
    <s v="Walter Muller"/>
  </r>
  <r>
    <x v="244"/>
    <x v="50"/>
    <s v="Sides &amp; Other"/>
    <n v="4.99"/>
    <n v="200.4"/>
    <s v="Drive-thru "/>
    <s v=" Gift Card"/>
    <s v="Walter Muller"/>
    <s v="Berlin"/>
    <x v="2"/>
    <s v="Walter Muller"/>
  </r>
  <r>
    <x v="245"/>
    <x v="51"/>
    <s v="Burgers"/>
    <n v="12.99"/>
    <n v="723.63"/>
    <s v="Drive-thru "/>
    <s v=" Gift Card"/>
    <s v="Walter Muller"/>
    <s v="Berlin"/>
    <x v="28"/>
    <s v="Walter Muller"/>
  </r>
  <r>
    <x v="246"/>
    <x v="51"/>
    <s v="Chicken Sandwiches"/>
    <n v="9.95"/>
    <n v="301.51"/>
    <s v="Drive-thru "/>
    <s v=" Gift Card"/>
    <s v="Walter Muller"/>
    <s v="Berlin"/>
    <x v="29"/>
    <s v="Walter Muller"/>
  </r>
  <r>
    <x v="247"/>
    <x v="51"/>
    <s v="Fries"/>
    <n v="3.49"/>
    <n v="630.37"/>
    <s v="Drive-thru "/>
    <s v=" Gift Card"/>
    <s v="Walter Muller"/>
    <s v="Berlin"/>
    <x v="7"/>
    <s v="Walter Muller"/>
  </r>
  <r>
    <x v="248"/>
    <x v="51"/>
    <s v="Beverages"/>
    <n v="2.95"/>
    <n v="677.97"/>
    <s v="Drive-thru "/>
    <s v=" Gift Card"/>
    <s v="Walter Muller"/>
    <s v="Berlin"/>
    <x v="6"/>
    <s v="Walter Muller"/>
  </r>
  <r>
    <x v="249"/>
    <x v="51"/>
    <s v="Sides &amp; Other"/>
    <n v="4.99"/>
    <n v="200.4"/>
    <s v="Drive-thru "/>
    <s v=" Gift Card"/>
    <s v="Walter Muller"/>
    <s v="Berlin"/>
    <x v="2"/>
    <s v="Walter Muller"/>
  </r>
  <r>
    <x v="250"/>
    <x v="52"/>
    <s v="Burgers"/>
    <n v="12.99"/>
    <n v="754.43"/>
    <s v="Drive-thru "/>
    <s v=" Gift Card"/>
    <s v="Walter Muller"/>
    <s v="Berlin"/>
    <x v="30"/>
    <s v="Walter Muller"/>
  </r>
  <r>
    <x v="251"/>
    <x v="52"/>
    <s v="Chicken Sandwiches"/>
    <n v="9.95"/>
    <n v="281.41"/>
    <s v="Drive-thru "/>
    <s v=" Gift Card"/>
    <s v="Walter Muller"/>
    <s v="Berlin"/>
    <x v="27"/>
    <s v="Walter Muller"/>
  </r>
  <r>
    <x v="252"/>
    <x v="52"/>
    <s v="Fries"/>
    <n v="3.49"/>
    <n v="630.37"/>
    <s v="Drive-thru "/>
    <s v=" Gift Card"/>
    <s v="Walter Muller"/>
    <s v="Berlin"/>
    <x v="7"/>
    <s v="Walter Muller"/>
  </r>
  <r>
    <x v="253"/>
    <x v="52"/>
    <s v="Beverages"/>
    <n v="2.95"/>
    <n v="677.97"/>
    <s v="Drive-thru "/>
    <s v=" Gift Card"/>
    <s v="Walter Muller"/>
    <s v="Berlin"/>
    <x v="6"/>
    <s v="Walter Muller"/>
  </r>
  <r>
    <x v="254"/>
    <x v="53"/>
    <m/>
    <m/>
    <m/>
    <m/>
    <m/>
    <m/>
    <m/>
    <x v="31"/>
    <m/>
  </r>
</pivotCacheRecords>
</file>

<file path=xl/pivotTables/_rels/pivotTable1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79:I83" firstHeaderRow="1" firstDataRow="1" firstDataCol="1"/>
  <pivotFields count="11">
    <pivotField dataField="1" showAll="0">
      <items count="2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60"/>
        <item x="61"/>
        <item x="62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127"/>
        <item x="128"/>
        <item x="12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xmlns:r="http://schemas.openxmlformats.org/officeDocument/2006/relationships" name="PivotTable13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E88:F118" firstHeaderRow="1" firstDataRow="1" firstDataCol="1"/>
  <pivotFields count="11">
    <pivotField showAll="0"/>
    <pivotField axis="axisRow" showAll="0">
      <items count="5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h="1" x="5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33">
        <item x="2"/>
        <item x="6"/>
        <item x="0"/>
        <item x="4"/>
        <item x="7"/>
        <item x="1"/>
        <item x="19"/>
        <item x="13"/>
        <item x="24"/>
        <item x="25"/>
        <item x="27"/>
        <item x="29"/>
        <item x="17"/>
        <item x="11"/>
        <item x="16"/>
        <item x="14"/>
        <item x="15"/>
        <item x="9"/>
        <item x="8"/>
        <item x="12"/>
        <item x="5"/>
        <item x="3"/>
        <item x="18"/>
        <item x="20"/>
        <item x="21"/>
        <item x="22"/>
        <item x="23"/>
        <item x="26"/>
        <item x="28"/>
        <item x="30"/>
        <item x="10"/>
        <item x="31"/>
        <item t="default"/>
      </items>
    </pivotField>
    <pivotField showAll="0"/>
  </pivotFields>
  <rowFields count="1">
    <field x="1"/>
  </rowFields>
  <rowItems count="30"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Items count="1">
    <i/>
  </colItems>
  <dataFields count="1">
    <dataField name="Sum of Revenue" fld="9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xmlns:r="http://schemas.openxmlformats.org/officeDocument/2006/relationships" name="PivotTable14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E120:F150" firstHeaderRow="1" firstDataRow="1" firstDataCol="1"/>
  <pivotFields count="11">
    <pivotField dataField="1" showAll="0">
      <items count="2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60"/>
        <item x="61"/>
        <item x="62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127"/>
        <item x="128"/>
        <item x="12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axis="axisRow" showAll="0">
      <items count="5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h="1" x="5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0"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xmlns:r="http://schemas.openxmlformats.org/officeDocument/2006/relationships" name="PivotTable1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:B6" firstHeaderRow="1" firstDataRow="1" firstDataCol="1"/>
  <pivotFields count="11">
    <pivotField dataField="1" showAll="0">
      <items count="2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60"/>
        <item x="61"/>
        <item x="62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127"/>
        <item x="128"/>
        <item x="12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1"/>
        <item x="0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6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xmlns:r="http://schemas.openxmlformats.org/officeDocument/2006/relationships" name="PivotTable2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2:B18" firstHeaderRow="1" firstDataRow="1" firstDataCol="1"/>
  <pivotFields count="11">
    <pivotField showAll="0"/>
    <pivotField showAll="0"/>
    <pivotField axis="axisRow" showAll="0" sortType="descending">
      <items count="7">
        <item x="1"/>
        <item x="3"/>
        <item x="4"/>
        <item x="0"/>
        <item x="2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31">
        <item x="2"/>
        <item x="4"/>
        <item x="17"/>
        <item x="22"/>
        <item x="23"/>
        <item x="25"/>
        <item x="27"/>
        <item x="15"/>
        <item x="14"/>
        <item x="12"/>
        <item x="13"/>
        <item x="9"/>
        <item x="8"/>
        <item x="10"/>
        <item x="5"/>
        <item x="3"/>
        <item x="0"/>
        <item x="16"/>
        <item x="18"/>
        <item x="7"/>
        <item x="19"/>
        <item x="20"/>
        <item x="21"/>
        <item x="6"/>
        <item x="11"/>
        <item x="24"/>
        <item x="26"/>
        <item x="1"/>
        <item x="28"/>
        <item x="2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3"/>
    </i>
    <i>
      <x v="1"/>
    </i>
    <i>
      <x v="2"/>
    </i>
    <i>
      <x v="4"/>
    </i>
    <i t="grand">
      <x/>
    </i>
  </rowItems>
  <colItems count="1">
    <i/>
  </colItems>
  <dataFields count="1">
    <dataField name="Sum of Quantity" fld="4" baseField="0" baseItem="0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xmlns:r="http://schemas.openxmlformats.org/officeDocument/2006/relationships" name="PivotTable3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D12:E18" firstHeaderRow="1" firstDataRow="1" firstDataCol="1"/>
  <pivotFields count="11">
    <pivotField showAll="0"/>
    <pivotField showAll="0"/>
    <pivotField axis="axisRow" showAll="0" sortType="descending">
      <items count="7">
        <item x="1"/>
        <item x="3"/>
        <item x="4"/>
        <item x="0"/>
        <item x="2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>
      <items count="33">
        <item x="2"/>
        <item x="6"/>
        <item x="0"/>
        <item x="4"/>
        <item x="7"/>
        <item x="1"/>
        <item x="19"/>
        <item x="13"/>
        <item x="24"/>
        <item x="25"/>
        <item x="27"/>
        <item x="29"/>
        <item x="17"/>
        <item x="11"/>
        <item x="16"/>
        <item x="14"/>
        <item x="15"/>
        <item x="9"/>
        <item x="8"/>
        <item x="12"/>
        <item x="5"/>
        <item x="3"/>
        <item x="18"/>
        <item x="20"/>
        <item x="21"/>
        <item x="22"/>
        <item x="23"/>
        <item x="26"/>
        <item x="28"/>
        <item x="30"/>
        <item x="10"/>
        <item x="31"/>
        <item t="default"/>
      </items>
    </pivotField>
    <pivotField showAll="0"/>
  </pivotFields>
  <rowFields count="1">
    <field x="2"/>
  </rowFields>
  <rowItems count="6">
    <i>
      <x v="1"/>
    </i>
    <i>
      <x v="3"/>
    </i>
    <i>
      <x v="2"/>
    </i>
    <i>
      <x/>
    </i>
    <i>
      <x v="4"/>
    </i>
    <i t="grand">
      <x/>
    </i>
  </rowItems>
  <colItems count="1">
    <i/>
  </colItems>
  <dataFields count="1">
    <dataField name="Sum of Revenue" fld="9" baseField="0" baseItem="0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xmlns:r="http://schemas.openxmlformats.org/officeDocument/2006/relationships" name="PivotTable5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4:B30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3"/>
        <item x="2"/>
        <item x="0"/>
        <item x="1"/>
        <item x="4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33">
        <item x="2"/>
        <item x="6"/>
        <item x="0"/>
        <item x="4"/>
        <item x="7"/>
        <item x="1"/>
        <item x="19"/>
        <item x="13"/>
        <item x="24"/>
        <item x="25"/>
        <item x="27"/>
        <item x="29"/>
        <item x="17"/>
        <item x="11"/>
        <item x="16"/>
        <item x="14"/>
        <item x="15"/>
        <item x="9"/>
        <item x="8"/>
        <item x="12"/>
        <item x="5"/>
        <item x="3"/>
        <item x="18"/>
        <item x="20"/>
        <item x="21"/>
        <item x="22"/>
        <item x="23"/>
        <item x="26"/>
        <item x="28"/>
        <item x="30"/>
        <item x="10"/>
        <item x="31"/>
        <item t="default"/>
      </items>
    </pivotField>
    <pivotField showAll="0"/>
  </pivotFields>
  <rowFields count="1">
    <field x="8"/>
  </rowFields>
  <rowItems count="6">
    <i>
      <x v="1"/>
    </i>
    <i>
      <x/>
    </i>
    <i>
      <x v="2"/>
    </i>
    <i>
      <x v="3"/>
    </i>
    <i>
      <x v="4"/>
    </i>
    <i t="grand">
      <x/>
    </i>
  </rowItems>
  <colItems count="1">
    <i/>
  </colItems>
  <dataFields count="1">
    <dataField name="Max of Revenue" fld="9" subtotal="max" baseField="0" baseItem="0"/>
  </data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xmlns:r="http://schemas.openxmlformats.org/officeDocument/2006/relationships" name="PivotTable6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D24:E30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3">
        <item x="2"/>
        <item x="6"/>
        <item x="0"/>
        <item x="4"/>
        <item x="7"/>
        <item x="1"/>
        <item x="19"/>
        <item x="13"/>
        <item x="24"/>
        <item x="25"/>
        <item x="27"/>
        <item x="29"/>
        <item x="17"/>
        <item x="11"/>
        <item x="16"/>
        <item x="14"/>
        <item x="15"/>
        <item x="9"/>
        <item x="8"/>
        <item x="12"/>
        <item x="5"/>
        <item x="3"/>
        <item x="18"/>
        <item x="20"/>
        <item x="21"/>
        <item x="22"/>
        <item x="23"/>
        <item x="26"/>
        <item x="28"/>
        <item x="30"/>
        <item x="10"/>
        <item x="31"/>
        <item t="default"/>
      </items>
    </pivotField>
    <pivotField axis="axisRow" showAll="0" sortType="descending">
      <items count="7">
        <item x="2"/>
        <item x="1"/>
        <item x="4"/>
        <item x="0"/>
        <item x="3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6">
    <i>
      <x/>
    </i>
    <i>
      <x v="4"/>
    </i>
    <i>
      <x v="3"/>
    </i>
    <i>
      <x v="1"/>
    </i>
    <i>
      <x v="2"/>
    </i>
    <i t="grand">
      <x/>
    </i>
  </rowItems>
  <colItems count="1">
    <i/>
  </colItems>
  <dataFields count="1">
    <dataField name="Max of Revenue" fld="9" subtotal="max" baseField="0" baseItem="0"/>
  </dataField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xmlns:r="http://schemas.openxmlformats.org/officeDocument/2006/relationships" name="PivotTable7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5:B89" firstHeaderRow="1" firstDataRow="1" firstDataCol="1"/>
  <pivotFields count="11">
    <pivotField showAll="0"/>
    <pivotField axis="axisRow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h="1" x="5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33">
        <item x="2"/>
        <item x="6"/>
        <item x="0"/>
        <item x="4"/>
        <item x="7"/>
        <item x="1"/>
        <item x="19"/>
        <item x="13"/>
        <item x="24"/>
        <item x="25"/>
        <item x="27"/>
        <item x="29"/>
        <item x="17"/>
        <item x="11"/>
        <item x="16"/>
        <item x="14"/>
        <item x="15"/>
        <item x="9"/>
        <item x="8"/>
        <item x="12"/>
        <item x="5"/>
        <item x="3"/>
        <item x="18"/>
        <item x="20"/>
        <item x="21"/>
        <item x="22"/>
        <item x="23"/>
        <item x="26"/>
        <item x="28"/>
        <item x="30"/>
        <item x="10"/>
        <item x="31"/>
        <item t="default"/>
      </items>
    </pivotField>
    <pivotField showAll="0"/>
  </pivotFields>
  <rowFields count="1">
    <field x="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Items count="1">
    <i/>
  </colItems>
  <dataFields count="1">
    <dataField name="Sum of Revenue" fld="9" baseField="0" baseItem="0"/>
  </dataField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xmlns:r="http://schemas.openxmlformats.org/officeDocument/2006/relationships" name="PivotTable8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K2:K3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3">
        <item x="2"/>
        <item x="6"/>
        <item x="0"/>
        <item x="4"/>
        <item x="7"/>
        <item x="1"/>
        <item x="19"/>
        <item x="13"/>
        <item x="24"/>
        <item x="25"/>
        <item x="27"/>
        <item x="29"/>
        <item x="17"/>
        <item x="11"/>
        <item x="16"/>
        <item x="14"/>
        <item x="15"/>
        <item x="9"/>
        <item x="8"/>
        <item x="12"/>
        <item x="5"/>
        <item x="3"/>
        <item x="18"/>
        <item x="20"/>
        <item x="21"/>
        <item x="22"/>
        <item x="23"/>
        <item x="26"/>
        <item x="28"/>
        <item x="30"/>
        <item x="10"/>
        <item x="31"/>
        <item t="default"/>
      </items>
    </pivotField>
    <pivotField showAll="0"/>
  </pivotFields>
  <rowItems count="1">
    <i/>
  </rowItems>
  <colItems count="1">
    <i/>
  </colItems>
  <dataFields count="1">
    <dataField name="Average of Revenue" fld="9" subtotal="average" baseField="0" baseItem="0"/>
  </dataFields>
  <pivotTableStyleInfo name="PivotStyleLight16" showRowHeaders="1" showColHeaders="1" showRowStripes="0" showColStripes="0" showLastColumn="1"/>
</pivotTableDefinition>
</file>

<file path=xl/pivotTables/pivotTable11.xml><?xml version="1.0" encoding="utf-8"?>
<pivotTableDefinition xmlns="http://schemas.openxmlformats.org/spreadsheetml/2006/main" xmlns:r="http://schemas.openxmlformats.org/officeDocument/2006/relationships" name="PivotTable9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K8:L33" firstHeaderRow="1" firstDataRow="1" firstDataCol="1"/>
  <pivotFields count="11">
    <pivotField showAll="0"/>
    <pivotField axis="axisRow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33">
        <item x="2"/>
        <item x="6"/>
        <item x="0"/>
        <item x="4"/>
        <item x="7"/>
        <item x="1"/>
        <item x="19"/>
        <item x="13"/>
        <item x="24"/>
        <item x="25"/>
        <item x="27"/>
        <item x="29"/>
        <item x="17"/>
        <item x="11"/>
        <item x="16"/>
        <item x="14"/>
        <item x="15"/>
        <item x="9"/>
        <item x="8"/>
        <item x="12"/>
        <item x="5"/>
        <item x="3"/>
        <item x="18"/>
        <item x="20"/>
        <item x="21"/>
        <item x="22"/>
        <item x="23"/>
        <item x="26"/>
        <item x="28"/>
        <item x="30"/>
        <item x="10"/>
        <item x="31"/>
        <item t="default"/>
      </items>
    </pivotField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verage of Revenue" fld="9" subtotal="average" baseField="0" baseItem="0"/>
  </dataFields>
  <pivotTableStyleInfo name="PivotStyleLight16" showRowHeaders="1" showColHeaders="1" showRowStripes="0" showColStripes="0" showLastColumn="1"/>
</pivotTableDefinition>
</file>

<file path=xl/pivotTables/pivotTable12.xml><?xml version="1.0" encoding="utf-8"?>
<pivotTableDefinition xmlns="http://schemas.openxmlformats.org/spreadsheetml/2006/main" xmlns:r="http://schemas.openxmlformats.org/officeDocument/2006/relationships" name="PivotTable10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N8:O38" firstHeaderRow="1" firstDataRow="1" firstDataCol="1"/>
  <pivotFields count="11">
    <pivotField showAll="0"/>
    <pivotField axis="axisRow" showAll="0">
      <items count="5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h="1" x="5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33">
        <item x="2"/>
        <item x="6"/>
        <item x="0"/>
        <item x="4"/>
        <item x="7"/>
        <item x="1"/>
        <item x="19"/>
        <item x="13"/>
        <item x="24"/>
        <item x="25"/>
        <item x="27"/>
        <item x="29"/>
        <item x="17"/>
        <item x="11"/>
        <item x="16"/>
        <item x="14"/>
        <item x="15"/>
        <item x="9"/>
        <item x="8"/>
        <item x="12"/>
        <item x="5"/>
        <item x="3"/>
        <item x="18"/>
        <item x="20"/>
        <item x="21"/>
        <item x="22"/>
        <item x="23"/>
        <item x="26"/>
        <item x="28"/>
        <item x="30"/>
        <item x="10"/>
        <item x="31"/>
        <item t="default"/>
      </items>
    </pivotField>
    <pivotField showAll="0"/>
  </pivotFields>
  <rowFields count="1">
    <field x="1"/>
  </rowFields>
  <rowItems count="30"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Items count="1">
    <i/>
  </colItems>
  <dataFields count="1">
    <dataField name="Average of Revenue" fld="9" subtotal="average" baseField="0" baseItem="0"/>
  </dataFields>
  <pivotTableStyleInfo name="PivotStyleLight16" showRowHeaders="1" showColHeaders="1" showRowStripes="0" showColStripes="0" showLastColumn="1"/>
</pivotTableDefinition>
</file>

<file path=xl/pivotTables/pivotTable13.xml><?xml version="1.0" encoding="utf-8"?>
<pivotTableDefinition xmlns="http://schemas.openxmlformats.org/spreadsheetml/2006/main" xmlns:r="http://schemas.openxmlformats.org/officeDocument/2006/relationships" name="PivotTable4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K58:M65" firstHeaderRow="1" firstDataRow="2" firstDataCol="1"/>
  <pivotFields count="11">
    <pivotField showAll="0"/>
    <pivotField showAll="0"/>
    <pivotField axis="axisRow" showAll="0" sortType="ascending">
      <items count="7">
        <item x="1"/>
        <item x="3"/>
        <item x="4"/>
        <item x="0"/>
        <item x="2"/>
        <item h="1" x="5"/>
        <item t="default"/>
      </items>
    </pivotField>
    <pivotField showAll="0"/>
    <pivotField dataField="1" showAll="0">
      <items count="31">
        <item x="2"/>
        <item x="4"/>
        <item x="17"/>
        <item x="22"/>
        <item x="23"/>
        <item x="25"/>
        <item x="27"/>
        <item x="15"/>
        <item x="14"/>
        <item x="12"/>
        <item x="13"/>
        <item x="9"/>
        <item x="8"/>
        <item x="10"/>
        <item x="5"/>
        <item x="3"/>
        <item x="0"/>
        <item x="16"/>
        <item x="18"/>
        <item x="7"/>
        <item x="19"/>
        <item x="20"/>
        <item x="21"/>
        <item x="6"/>
        <item x="11"/>
        <item x="24"/>
        <item x="26"/>
        <item x="1"/>
        <item x="28"/>
        <item x="29"/>
        <item t="default"/>
      </items>
    </pivotField>
    <pivotField showAll="0"/>
    <pivotField showAll="0"/>
    <pivotField showAll="0"/>
    <pivotField showAll="0"/>
    <pivotField dataField="1" showAll="0">
      <items count="33">
        <item x="2"/>
        <item x="6"/>
        <item x="0"/>
        <item x="4"/>
        <item x="7"/>
        <item x="1"/>
        <item x="19"/>
        <item x="13"/>
        <item x="24"/>
        <item x="25"/>
        <item x="27"/>
        <item x="29"/>
        <item x="17"/>
        <item x="11"/>
        <item x="16"/>
        <item x="14"/>
        <item x="15"/>
        <item x="9"/>
        <item x="8"/>
        <item x="12"/>
        <item x="5"/>
        <item x="3"/>
        <item x="18"/>
        <item x="20"/>
        <item x="21"/>
        <item x="22"/>
        <item x="23"/>
        <item x="26"/>
        <item x="28"/>
        <item x="30"/>
        <item x="10"/>
        <item x="31"/>
        <item t="default"/>
      </items>
    </pivotField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Quantity" fld="4" subtotal="average" baseField="0" baseItem="0"/>
    <dataField name="Average of Revenue" fld="9" subtotal="average" baseField="0" baseItem="0"/>
  </dataFields>
  <pivotTableStyleInfo name="PivotStyleLight16" showRowHeaders="1" showColHeaders="1" showRowStripes="0" showColStripes="0" showLastColumn="1"/>
</pivotTableDefinition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Relationship  Id="rId2" Type="http://schemas.openxmlformats.org/officeDocument/2006/relationships/pivotTable" Target="../pivotTables/pivotTable1.xml"/><Relationship  Id="rId3" Type="http://schemas.openxmlformats.org/officeDocument/2006/relationships/pivotTable" Target="../pivotTables/pivotTable2.xml"/><Relationship  Id="rId4" Type="http://schemas.openxmlformats.org/officeDocument/2006/relationships/pivotTable" Target="../pivotTables/pivotTable3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Relationship  Id="rId10" Type="http://schemas.openxmlformats.org/officeDocument/2006/relationships/pivotTable" Target="../pivotTables/pivotTable12.xml"/><Relationship  Id="rId11" Type="http://schemas.openxmlformats.org/officeDocument/2006/relationships/pivotTable" Target="../pivotTables/pivotTable13.xml"/><Relationship  Id="rId2" Type="http://schemas.openxmlformats.org/officeDocument/2006/relationships/pivotTable" Target="../pivotTables/pivotTable4.xml"/><Relationship  Id="rId3" Type="http://schemas.openxmlformats.org/officeDocument/2006/relationships/pivotTable" Target="../pivotTables/pivotTable5.xml"/><Relationship  Id="rId4" Type="http://schemas.openxmlformats.org/officeDocument/2006/relationships/pivotTable" Target="../pivotTables/pivotTable6.xml"/><Relationship  Id="rId5" Type="http://schemas.openxmlformats.org/officeDocument/2006/relationships/pivotTable" Target="../pivotTables/pivotTable7.xml"/><Relationship  Id="rId6" Type="http://schemas.openxmlformats.org/officeDocument/2006/relationships/pivotTable" Target="../pivotTables/pivotTable8.xml"/><Relationship  Id="rId7" Type="http://schemas.openxmlformats.org/officeDocument/2006/relationships/pivotTable" Target="../pivotTables/pivotTable9.xml"/><Relationship  Id="rId8" Type="http://schemas.openxmlformats.org/officeDocument/2006/relationships/pivotTable" Target="../pivotTables/pivotTable10.xml"/><Relationship  Id="rId9" Type="http://schemas.openxmlformats.org/officeDocument/2006/relationships/pivotTable" Target="../pivotTables/pivotTable1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4.25"/>
  <cols>
    <col customWidth="1" min="1" max="1" style="1" width="2.28125"/>
    <col bestFit="1" min="2" max="3" style="1" width="10.421875"/>
    <col min="4" max="4" style="1" width="9.140625"/>
    <col bestFit="1" min="5" max="5" style="1" width="12.8515625"/>
    <col customWidth="1" min="6" max="6" style="1" width="5.28125"/>
    <col customWidth="1" min="7" max="7" style="1" width="2.00390625"/>
    <col customWidth="1" min="8" max="8" style="1" width="21.57421875"/>
    <col customWidth="1" min="9" max="9" style="1" width="2.140625"/>
    <col min="10" max="13" style="1" width="9.140625"/>
    <col customWidth="1" min="14" max="14" style="1" width="2.00390625"/>
    <col customWidth="1" min="15" max="15" style="1" width="21.57421875"/>
    <col customWidth="1" min="16" max="16" style="1" width="2.140625"/>
    <col min="17" max="20" style="1" width="9.140625"/>
    <col customWidth="1" min="21" max="21" style="1" width="2.00390625"/>
    <col customWidth="1" min="22" max="22" style="1" width="21.57421875"/>
    <col customWidth="1" min="23" max="23" style="1" width="2.140625"/>
    <col min="24" max="16384" style="1" width="9.140625"/>
  </cols>
  <sheetData>
    <row r="1" ht="10.5" customHeight="1"/>
    <row r="2" ht="14.25" customHeight="1">
      <c r="B2" s="2"/>
      <c r="C2" s="3"/>
      <c r="D2" s="3"/>
      <c r="E2" s="3"/>
      <c r="F2" s="3"/>
      <c r="H2" s="4" t="s">
        <v>0</v>
      </c>
      <c r="I2" s="5" t="s">
        <v>1</v>
      </c>
      <c r="J2" s="6">
        <f>AVERAGE(RAW_Data!J:J)</f>
        <v>3029.5899968503945</v>
      </c>
      <c r="K2" s="6"/>
      <c r="L2" s="6"/>
      <c r="M2" s="6"/>
      <c r="O2" s="7" t="s">
        <v>2</v>
      </c>
      <c r="P2" s="5" t="s">
        <v>1</v>
      </c>
      <c r="Q2" s="5" t="str">
        <f>Analysis!D25</f>
        <v xml:space="preserve">Joao Silva</v>
      </c>
      <c r="R2" s="5"/>
      <c r="S2" s="5"/>
      <c r="T2" s="5"/>
      <c r="V2" s="7" t="s">
        <v>3</v>
      </c>
      <c r="W2" s="5" t="s">
        <v>1</v>
      </c>
      <c r="X2" s="5" t="str">
        <f>Analysis!A13</f>
        <v>Beverages</v>
      </c>
      <c r="Y2" s="5"/>
      <c r="Z2" s="5"/>
      <c r="AA2" s="5"/>
    </row>
    <row r="3" ht="14.25" customHeight="1">
      <c r="B3" s="3"/>
      <c r="C3" s="3"/>
      <c r="D3" s="3"/>
      <c r="E3" s="3"/>
      <c r="F3" s="3"/>
      <c r="H3" s="4"/>
      <c r="I3" s="5"/>
      <c r="J3" s="6"/>
      <c r="K3" s="6"/>
      <c r="L3" s="6"/>
      <c r="M3" s="6"/>
      <c r="O3" s="8"/>
      <c r="P3" s="5"/>
      <c r="Q3" s="5"/>
      <c r="R3" s="5"/>
      <c r="S3" s="5"/>
      <c r="T3" s="5"/>
      <c r="V3" s="7"/>
      <c r="W3" s="5"/>
      <c r="X3" s="5"/>
      <c r="Y3" s="5"/>
      <c r="Z3" s="5"/>
      <c r="AA3" s="5"/>
    </row>
    <row r="4" ht="14.25" customHeight="1">
      <c r="B4" s="3"/>
      <c r="C4" s="3"/>
      <c r="D4" s="3"/>
      <c r="E4" s="3"/>
      <c r="F4" s="3"/>
      <c r="H4" s="4"/>
      <c r="I4" s="5"/>
      <c r="J4" s="6"/>
      <c r="K4" s="6"/>
      <c r="L4" s="6"/>
      <c r="M4" s="6"/>
      <c r="O4" s="8"/>
      <c r="P4" s="5"/>
      <c r="Q4" s="5"/>
      <c r="R4" s="5"/>
      <c r="S4" s="5"/>
      <c r="T4" s="5"/>
      <c r="V4" s="7"/>
      <c r="W4" s="5"/>
      <c r="X4" s="5"/>
      <c r="Y4" s="5"/>
      <c r="Z4" s="5"/>
      <c r="AA4" s="5"/>
    </row>
    <row r="5" ht="14.25" customHeight="1">
      <c r="B5" s="3"/>
      <c r="C5" s="3"/>
      <c r="D5" s="3"/>
      <c r="E5" s="3"/>
      <c r="F5" s="3"/>
      <c r="H5" s="4"/>
      <c r="I5" s="5"/>
      <c r="J5" s="6"/>
      <c r="K5" s="6"/>
      <c r="L5" s="6"/>
      <c r="M5" s="6"/>
      <c r="O5" s="8"/>
      <c r="P5" s="5"/>
      <c r="Q5" s="5"/>
      <c r="R5" s="5"/>
      <c r="S5" s="5"/>
      <c r="T5" s="5"/>
      <c r="V5" s="7"/>
      <c r="W5" s="5"/>
      <c r="X5" s="5"/>
      <c r="Y5" s="5"/>
      <c r="Z5" s="5"/>
      <c r="AA5" s="5"/>
    </row>
    <row r="6" ht="14.25" customHeight="1">
      <c r="B6" s="3"/>
      <c r="C6" s="3"/>
      <c r="D6" s="3"/>
      <c r="E6" s="3"/>
      <c r="F6" s="3"/>
    </row>
    <row r="7" ht="14.25" customHeight="1">
      <c r="B7" s="3"/>
      <c r="C7" s="3"/>
      <c r="D7" s="3"/>
      <c r="E7" s="3"/>
      <c r="F7" s="3"/>
    </row>
    <row r="8" ht="14.25" customHeight="1">
      <c r="B8" s="3"/>
      <c r="C8" s="3"/>
      <c r="D8" s="3"/>
      <c r="E8" s="3"/>
      <c r="F8" s="3"/>
      <c r="AB8" s="9"/>
      <c r="AC8" s="9"/>
    </row>
    <row r="9" ht="14.25" customHeight="1">
      <c r="B9" s="3"/>
      <c r="C9" s="3"/>
      <c r="D9" s="3"/>
      <c r="E9" s="3"/>
      <c r="F9" s="3"/>
      <c r="AB9" s="9"/>
      <c r="AC9" s="9"/>
    </row>
    <row r="10" ht="14.25" customHeight="1">
      <c r="B10" s="3"/>
      <c r="C10" s="3"/>
      <c r="D10" s="3"/>
      <c r="E10" s="3"/>
      <c r="F10" s="3"/>
      <c r="AB10" s="9"/>
      <c r="AC10" s="9"/>
    </row>
    <row r="11" ht="14.25" customHeight="1">
      <c r="B11" s="3"/>
      <c r="C11" s="3"/>
      <c r="D11" s="3"/>
      <c r="E11" s="3"/>
      <c r="F11" s="3"/>
      <c r="AB11" s="9"/>
      <c r="AC11" s="9"/>
    </row>
    <row r="12" ht="14.25" customHeight="1">
      <c r="B12" s="3"/>
      <c r="C12" s="3"/>
      <c r="D12" s="3"/>
      <c r="E12" s="3"/>
      <c r="F12" s="3"/>
      <c r="AB12" s="9"/>
      <c r="AC12" s="9"/>
    </row>
    <row r="13" ht="14.25" customHeight="1">
      <c r="B13" s="3"/>
      <c r="C13" s="3"/>
      <c r="D13" s="3"/>
      <c r="E13" s="3"/>
      <c r="F13" s="3"/>
      <c r="AB13" s="9"/>
      <c r="AC13" s="9"/>
    </row>
    <row r="14" ht="14.25" customHeight="1">
      <c r="B14" s="3"/>
      <c r="C14" s="3"/>
      <c r="D14" s="3"/>
      <c r="E14" s="3"/>
      <c r="F14" s="3"/>
      <c r="AB14" s="9"/>
      <c r="AC14" s="9"/>
    </row>
    <row r="15" ht="14.25" customHeight="1">
      <c r="B15" s="3"/>
      <c r="C15" s="3"/>
      <c r="D15" s="3"/>
      <c r="E15" s="3"/>
      <c r="F15" s="3"/>
      <c r="AB15" s="9"/>
      <c r="AC15" s="9"/>
    </row>
    <row r="16" ht="14.25" customHeight="1">
      <c r="B16" s="3"/>
      <c r="C16" s="3"/>
      <c r="D16" s="3"/>
      <c r="E16" s="3"/>
      <c r="F16" s="3"/>
      <c r="AB16" s="9"/>
      <c r="AC16" s="9"/>
    </row>
    <row r="17" ht="14.25" customHeight="1">
      <c r="B17" s="3"/>
      <c r="C17" s="3"/>
      <c r="D17" s="3"/>
      <c r="E17" s="3"/>
      <c r="F17" s="3"/>
      <c r="AB17" s="9"/>
      <c r="AC17" s="9"/>
    </row>
    <row r="18" ht="14.25" customHeight="1">
      <c r="B18" s="3"/>
      <c r="C18" s="3"/>
      <c r="D18" s="3"/>
      <c r="E18" s="3"/>
      <c r="F18" s="3"/>
      <c r="AB18" s="9"/>
      <c r="AC18" s="9"/>
    </row>
    <row r="19" ht="14.25" customHeight="1">
      <c r="B19" s="3"/>
      <c r="C19" s="3"/>
      <c r="D19" s="3"/>
      <c r="E19" s="3"/>
      <c r="F19" s="3"/>
      <c r="AB19" s="9"/>
      <c r="AC19" s="9"/>
    </row>
    <row r="20" ht="14.25" customHeight="1">
      <c r="B20" s="3"/>
      <c r="C20" s="3"/>
      <c r="D20" s="3"/>
      <c r="E20" s="3"/>
      <c r="F20" s="3"/>
      <c r="AB20" s="9"/>
      <c r="AC20" s="9"/>
    </row>
    <row r="21" ht="14.25" customHeight="1">
      <c r="B21" s="3"/>
      <c r="C21" s="3"/>
      <c r="D21" s="3"/>
      <c r="E21" s="3"/>
      <c r="F21" s="3"/>
      <c r="AB21" s="9"/>
      <c r="AC21" s="9"/>
    </row>
    <row r="22" ht="14.25" customHeight="1">
      <c r="B22" s="3"/>
      <c r="C22" s="3"/>
      <c r="D22" s="3"/>
      <c r="E22" s="3"/>
      <c r="F22" s="3"/>
      <c r="AB22" s="9"/>
      <c r="AC22" s="9"/>
    </row>
    <row r="23" ht="14.25" customHeight="1">
      <c r="B23" s="3"/>
      <c r="C23" s="3"/>
      <c r="D23" s="3"/>
      <c r="E23" s="3"/>
      <c r="F23" s="3"/>
      <c r="AB23" s="9"/>
      <c r="AC23" s="9"/>
    </row>
    <row r="24" ht="14.25" customHeight="1">
      <c r="B24" s="3"/>
      <c r="C24" s="3"/>
      <c r="D24" s="3"/>
      <c r="E24" s="3"/>
      <c r="F24" s="3"/>
      <c r="AB24" s="9"/>
      <c r="AC24" s="9"/>
    </row>
    <row r="25" ht="14.25" customHeight="1">
      <c r="B25" s="3"/>
      <c r="C25" s="3"/>
      <c r="D25" s="3"/>
      <c r="E25" s="3"/>
      <c r="F25" s="3"/>
      <c r="AB25" s="9"/>
      <c r="AC25" s="9"/>
    </row>
    <row r="26" ht="14.25" customHeight="1">
      <c r="B26" s="3"/>
      <c r="C26" s="3"/>
      <c r="D26" s="3"/>
      <c r="E26" s="3"/>
      <c r="F26" s="3"/>
      <c r="V26" s="1"/>
      <c r="W26" s="1"/>
      <c r="X26" s="1"/>
      <c r="Y26" s="1"/>
      <c r="Z26" s="1"/>
      <c r="AA26" s="1"/>
      <c r="AB26" s="9"/>
      <c r="AC26" s="9"/>
    </row>
    <row r="27" ht="14.25" customHeight="1">
      <c r="B27" s="3"/>
      <c r="C27" s="3"/>
      <c r="D27" s="3"/>
      <c r="E27" s="3"/>
      <c r="F27" s="3"/>
      <c r="V27" s="1"/>
      <c r="W27" s="1"/>
      <c r="X27" s="1"/>
      <c r="Y27" s="1"/>
      <c r="Z27" s="1"/>
      <c r="AA27" s="1"/>
      <c r="AB27" s="9"/>
      <c r="AC27" s="9"/>
    </row>
    <row r="28" ht="14.25" customHeight="1">
      <c r="B28" s="3"/>
      <c r="C28" s="3"/>
      <c r="D28" s="3"/>
      <c r="E28" s="3"/>
      <c r="F28" s="3"/>
      <c r="V28" s="1"/>
      <c r="W28" s="1"/>
      <c r="X28" s="1"/>
      <c r="Y28" s="1"/>
      <c r="Z28" s="1"/>
      <c r="AA28" s="1"/>
      <c r="AB28" s="9"/>
      <c r="AC28" s="9"/>
    </row>
    <row r="29" ht="14.25" customHeight="1">
      <c r="B29" s="3"/>
      <c r="C29" s="3"/>
      <c r="D29" s="3"/>
      <c r="E29" s="3"/>
      <c r="F29" s="3"/>
      <c r="AB29" s="9"/>
      <c r="AC29" s="9"/>
    </row>
    <row r="30" ht="14.25" customHeight="1">
      <c r="B30" s="3"/>
      <c r="C30" s="3"/>
      <c r="D30" s="3"/>
      <c r="E30" s="3"/>
      <c r="F30" s="3"/>
      <c r="AB30" s="9"/>
      <c r="AC30" s="9"/>
    </row>
    <row r="31" ht="14.25" customHeight="1">
      <c r="B31" s="3"/>
      <c r="C31" s="3"/>
      <c r="D31" s="3"/>
      <c r="E31" s="3"/>
      <c r="F31" s="3"/>
      <c r="V31" s="1" t="s">
        <v>4</v>
      </c>
      <c r="AB31" s="9"/>
      <c r="AC31" s="9"/>
    </row>
    <row r="32" ht="14.25" customHeight="1">
      <c r="B32" s="3"/>
      <c r="C32" s="3"/>
      <c r="D32" s="3"/>
      <c r="E32" s="3"/>
      <c r="F32" s="3"/>
      <c r="AB32" s="9"/>
      <c r="AC32" s="9"/>
    </row>
    <row r="33" s="9" customFormat="1" ht="14.25" customHeight="1">
      <c r="A33" s="9"/>
      <c r="B33" s="3"/>
      <c r="C33" s="3"/>
      <c r="D33" s="3"/>
      <c r="E33" s="3"/>
      <c r="F33" s="3"/>
      <c r="G33" s="9"/>
      <c r="H33" s="9"/>
      <c r="I33" s="9"/>
      <c r="N33" s="9"/>
      <c r="O33" s="9"/>
      <c r="P33" s="9"/>
      <c r="U33" s="9"/>
      <c r="V33" s="9"/>
      <c r="W33" s="9"/>
      <c r="AB33" s="9"/>
      <c r="AC33" s="9"/>
    </row>
    <row r="34" s="9" customFormat="1" ht="14.25" customHeight="1">
      <c r="A34" s="9"/>
      <c r="B34" s="3"/>
      <c r="C34" s="3"/>
      <c r="D34" s="3"/>
      <c r="E34" s="3"/>
      <c r="F34" s="3"/>
      <c r="G34" s="9"/>
      <c r="H34" s="9"/>
      <c r="I34" s="9"/>
      <c r="N34" s="9"/>
      <c r="O34" s="9"/>
      <c r="P34" s="9"/>
      <c r="U34" s="9"/>
      <c r="V34" s="9"/>
      <c r="W34" s="9"/>
      <c r="AB34" s="9"/>
      <c r="AC34" s="9"/>
    </row>
    <row r="35" s="9" customFormat="1" ht="14.25" customHeight="1">
      <c r="A35" s="9"/>
      <c r="B35" s="3"/>
      <c r="C35" s="3"/>
      <c r="D35" s="3"/>
      <c r="E35" s="3"/>
      <c r="F35" s="3"/>
      <c r="G35" s="9"/>
      <c r="H35" s="9"/>
      <c r="I35" s="9"/>
      <c r="N35" s="9"/>
      <c r="O35" s="9"/>
      <c r="P35" s="9"/>
      <c r="U35" s="9"/>
      <c r="V35" s="9"/>
      <c r="W35" s="9"/>
      <c r="AB35" s="9"/>
      <c r="AC35" s="9"/>
    </row>
    <row r="36" ht="14.25" customHeight="1">
      <c r="B36" s="3"/>
      <c r="C36" s="3"/>
      <c r="D36" s="3"/>
      <c r="E36" s="3"/>
      <c r="F36" s="3"/>
      <c r="AB36" s="9"/>
      <c r="AC36" s="9"/>
    </row>
    <row r="37" ht="14.25" customHeight="1">
      <c r="B37" s="3"/>
      <c r="C37" s="3"/>
      <c r="D37" s="3"/>
      <c r="E37" s="3"/>
      <c r="F37" s="3"/>
      <c r="AB37" s="9"/>
      <c r="AC37" s="9"/>
    </row>
    <row r="38" ht="14.25" customHeight="1">
      <c r="A38" s="1"/>
      <c r="B38" s="3"/>
      <c r="C38" s="3"/>
      <c r="D38" s="3"/>
      <c r="E38" s="3"/>
      <c r="F38" s="3"/>
    </row>
    <row r="39" ht="14.25" customHeight="1">
      <c r="B39" s="3"/>
      <c r="C39" s="3"/>
      <c r="D39" s="3"/>
      <c r="E39" s="3"/>
      <c r="F39" s="3"/>
      <c r="O39" s="10" t="s">
        <v>4</v>
      </c>
      <c r="P39" s="11" t="s">
        <v>1</v>
      </c>
      <c r="Q39" s="12">
        <f>GETPIVOTDATA("Revenue",$E$88)</f>
        <v>437401.20079999999</v>
      </c>
      <c r="R39" s="12"/>
      <c r="S39" s="12"/>
      <c r="T39" s="12"/>
      <c r="V39" s="13" t="s">
        <v>5</v>
      </c>
      <c r="W39" s="14" t="s">
        <v>1</v>
      </c>
      <c r="X39" s="14" t="str">
        <f>_xlfn.CONCAT(GETPIVOTDATA("Order ID",$E$120)," Order")</f>
        <v xml:space="preserve">141 Order</v>
      </c>
      <c r="Y39" s="14"/>
      <c r="Z39" s="14"/>
      <c r="AA39" s="14"/>
    </row>
    <row r="40" ht="14.25" customHeight="1">
      <c r="B40" s="3"/>
      <c r="C40" s="3"/>
      <c r="D40" s="3"/>
      <c r="E40" s="3"/>
      <c r="F40" s="3"/>
      <c r="O40" s="10"/>
      <c r="P40" s="11"/>
      <c r="Q40" s="12"/>
      <c r="R40" s="12"/>
      <c r="S40" s="12"/>
      <c r="T40" s="12"/>
      <c r="V40" s="13"/>
      <c r="W40" s="14"/>
      <c r="X40" s="14"/>
      <c r="Y40" s="14"/>
      <c r="Z40" s="14"/>
      <c r="AA40" s="14"/>
    </row>
    <row r="41" ht="14.25" customHeight="1">
      <c r="B41" s="3"/>
      <c r="C41" s="3"/>
      <c r="D41" s="3"/>
      <c r="E41" s="3"/>
      <c r="F41" s="3"/>
      <c r="O41" s="10"/>
      <c r="P41" s="11"/>
      <c r="Q41" s="12"/>
      <c r="R41" s="12"/>
      <c r="S41" s="12"/>
      <c r="T41" s="12"/>
      <c r="V41" s="13"/>
      <c r="W41" s="14"/>
      <c r="X41" s="14"/>
      <c r="Y41" s="14"/>
      <c r="Z41" s="14"/>
      <c r="AA41" s="14"/>
    </row>
    <row r="42" ht="14.25" customHeight="1">
      <c r="B42" s="3"/>
      <c r="C42" s="3"/>
      <c r="D42" s="3"/>
      <c r="E42" s="3"/>
      <c r="F42" s="3"/>
      <c r="O42" s="10"/>
      <c r="P42" s="11"/>
      <c r="Q42" s="12"/>
      <c r="R42" s="12"/>
      <c r="S42" s="12"/>
      <c r="T42" s="12"/>
      <c r="V42" s="13"/>
      <c r="W42" s="14"/>
      <c r="X42" s="14"/>
      <c r="Y42" s="14"/>
      <c r="Z42" s="14"/>
      <c r="AA42" s="14"/>
    </row>
    <row r="43" ht="14.25" customHeight="1">
      <c r="B43" s="3"/>
      <c r="C43" s="3"/>
      <c r="D43" s="3"/>
      <c r="E43" s="3"/>
      <c r="F43" s="3"/>
    </row>
    <row r="44" ht="14.25" customHeight="1">
      <c r="B44" s="15"/>
      <c r="C44" s="15"/>
      <c r="D44" s="15"/>
      <c r="E44" s="15"/>
      <c r="F44" s="15"/>
    </row>
    <row r="66" ht="14.25">
      <c r="B66" s="1"/>
      <c r="C66" s="1"/>
    </row>
    <row r="67" ht="14.25">
      <c r="B67" s="1"/>
      <c r="C67" s="1"/>
    </row>
    <row r="68" ht="14.25">
      <c r="B68" s="1"/>
      <c r="C68" s="1"/>
    </row>
    <row r="69" ht="14.25">
      <c r="B69" s="1"/>
      <c r="C69" s="1"/>
    </row>
    <row r="70" ht="14.25">
      <c r="B70" s="1" t="s">
        <v>6</v>
      </c>
      <c r="C70" s="1"/>
    </row>
    <row r="71" ht="14.25">
      <c r="B71" s="1" t="s">
        <v>7</v>
      </c>
      <c r="C71" s="1"/>
      <c r="E71" s="1" t="s">
        <v>8</v>
      </c>
      <c r="H71" s="1" t="s">
        <v>9</v>
      </c>
    </row>
    <row r="72" ht="14.25">
      <c r="B72" s="1" t="str">
        <f>Analysis!D25</f>
        <v xml:space="preserve">Joao Silva</v>
      </c>
      <c r="C72" s="1">
        <f>Analysis!E25</f>
        <v>16074.434999999999</v>
      </c>
      <c r="E72" s="1" t="str">
        <f>Analysis!A3</f>
        <v xml:space="preserve"> Credit Card</v>
      </c>
      <c r="F72" s="1">
        <f>Analysis!B3</f>
        <v>120</v>
      </c>
      <c r="H72" s="1" t="str" cm="1">
        <f t="array" ref="H72:I77">Analysis!A13:B18</f>
        <v>Beverages</v>
      </c>
      <c r="I72" s="1">
        <f/>
        <v>34983.140000000007</v>
      </c>
    </row>
    <row r="73" ht="14.25">
      <c r="B73" s="1" t="str">
        <f>Analysis!D26</f>
        <v xml:space="preserve">Walter Muller</v>
      </c>
      <c r="C73" s="1">
        <f>Analysis!E26</f>
        <v>9800.0456999999988</v>
      </c>
      <c r="E73" s="1" t="str">
        <f>Analysis!A4</f>
        <v xml:space="preserve"> Cash</v>
      </c>
      <c r="F73" s="1">
        <f>Analysis!B4</f>
        <v>76</v>
      </c>
      <c r="H73" s="1" t="str">
        <f/>
        <v>Fries</v>
      </c>
      <c r="I73" s="1">
        <f/>
        <v>32034.339999999986</v>
      </c>
    </row>
    <row r="74" ht="14.25">
      <c r="B74" s="1" t="str">
        <f>Analysis!D27</f>
        <v xml:space="preserve">Tom Jackson</v>
      </c>
      <c r="C74" s="1">
        <f>Analysis!E27</f>
        <v>7600.0593000000008</v>
      </c>
      <c r="E74" s="1" t="str">
        <f>Analysis!A5</f>
        <v xml:space="preserve"> Gift Card</v>
      </c>
      <c r="F74" s="1">
        <f>Analysis!B5</f>
        <v>58</v>
      </c>
      <c r="H74" s="1" t="str">
        <f/>
        <v>Burgers</v>
      </c>
      <c r="I74" s="1">
        <f/>
        <v>29022.309999999994</v>
      </c>
    </row>
    <row r="75" ht="14.25">
      <c r="B75" s="1" t="str">
        <f>Analysis!D28</f>
        <v xml:space="preserve">Pablo Perez</v>
      </c>
      <c r="C75" s="1">
        <f>Analysis!E28</f>
        <v>7199.9673000000003</v>
      </c>
      <c r="E75" s="1" t="str">
        <f>Analysis!A6</f>
        <v xml:space="preserve">Grand Total</v>
      </c>
      <c r="F75" s="1">
        <f>Analysis!B6</f>
        <v>254</v>
      </c>
      <c r="H75" s="1" t="str">
        <f/>
        <v xml:space="preserve">Chicken Sandwiches</v>
      </c>
      <c r="I75" s="1">
        <f/>
        <v>11135.920000000002</v>
      </c>
    </row>
    <row r="76" ht="14.25">
      <c r="B76" s="1" t="str">
        <f>Analysis!D29</f>
        <v xml:space="preserve">Remy Monet</v>
      </c>
      <c r="C76" s="1">
        <f>Analysis!E29</f>
        <v>7199.9673000000003</v>
      </c>
      <c r="H76" s="1" t="str">
        <f/>
        <v xml:space="preserve">Sides &amp; Other</v>
      </c>
      <c r="I76" s="1">
        <f/>
        <v>9819.5999999999913</v>
      </c>
    </row>
    <row r="77" ht="14.25">
      <c r="B77" s="1" t="str">
        <f>Analysis!D30</f>
        <v xml:space="preserve">Grand Total</v>
      </c>
      <c r="C77" s="1">
        <f>Analysis!E30</f>
        <v>16074.434999999999</v>
      </c>
      <c r="H77" s="1" t="str">
        <f/>
        <v xml:space="preserve">Grand Total</v>
      </c>
      <c r="I77" s="1">
        <f/>
        <v>116995.30999999998</v>
      </c>
    </row>
    <row r="79" ht="14.25">
      <c r="B79" s="1" t="s">
        <v>10</v>
      </c>
      <c r="E79" s="1" t="s">
        <v>11</v>
      </c>
      <c r="H79" t="s">
        <v>12</v>
      </c>
      <c r="I79" t="s">
        <v>13</v>
      </c>
      <c r="J79"/>
    </row>
    <row r="80" ht="14.25">
      <c r="B80" s="16">
        <f>Analysis!A36</f>
        <v>44872</v>
      </c>
      <c r="C80" s="1">
        <f>Analysis!B36</f>
        <v>5200.002300000001</v>
      </c>
      <c r="E80" s="1" t="str" cm="1">
        <f t="array" ref="E80:F85">Analysis!A25:B30</f>
        <v>Lisbon</v>
      </c>
      <c r="F80" s="1">
        <f/>
        <v>16074.434999999999</v>
      </c>
      <c r="H80" s="17" t="s">
        <v>14</v>
      </c>
      <c r="I80">
        <v>61</v>
      </c>
      <c r="J80"/>
    </row>
    <row r="81" ht="14.25">
      <c r="B81" s="16">
        <f>Analysis!A37</f>
        <v>44873</v>
      </c>
      <c r="C81" s="1">
        <f>Analysis!B37</f>
        <v>12400.073100000001</v>
      </c>
      <c r="E81" s="1" t="str">
        <f/>
        <v>Berlin</v>
      </c>
      <c r="F81" s="1">
        <f/>
        <v>9800.0456999999988</v>
      </c>
      <c r="H81" s="17" t="s">
        <v>15</v>
      </c>
      <c r="I81">
        <v>86</v>
      </c>
      <c r="J81"/>
    </row>
    <row r="82" ht="14.25">
      <c r="B82" s="16">
        <f>Analysis!A38</f>
        <v>44874</v>
      </c>
      <c r="C82" s="1">
        <f>Analysis!B38</f>
        <v>14200.0386</v>
      </c>
      <c r="E82" s="1" t="str">
        <f/>
        <v>London</v>
      </c>
      <c r="F82" s="1">
        <f/>
        <v>7600.0593000000008</v>
      </c>
      <c r="H82" s="17" t="s">
        <v>16</v>
      </c>
      <c r="I82">
        <v>107</v>
      </c>
      <c r="J82"/>
    </row>
    <row r="83" ht="14.25">
      <c r="B83" s="16">
        <f>Analysis!A39</f>
        <v>44875</v>
      </c>
      <c r="C83" s="1">
        <f>Analysis!B39</f>
        <v>13200.042600000001</v>
      </c>
      <c r="E83" s="1" t="str">
        <f/>
        <v>Madrid</v>
      </c>
      <c r="F83" s="1">
        <f/>
        <v>7199.9673000000003</v>
      </c>
      <c r="H83" s="17" t="s">
        <v>17</v>
      </c>
      <c r="I83">
        <v>254</v>
      </c>
      <c r="J83"/>
    </row>
    <row r="84" ht="14.25">
      <c r="B84" s="16">
        <f>Analysis!A40</f>
        <v>44876</v>
      </c>
      <c r="C84" s="1">
        <f>Analysis!B40</f>
        <v>14400.015599999999</v>
      </c>
      <c r="E84" s="1" t="str">
        <f/>
        <v>Paris</v>
      </c>
      <c r="F84" s="1">
        <f/>
        <v>7199.9673000000003</v>
      </c>
      <c r="H84"/>
      <c r="I84"/>
      <c r="J84"/>
    </row>
    <row r="85" ht="14.25">
      <c r="B85" s="16">
        <f>Analysis!A41</f>
        <v>44877</v>
      </c>
      <c r="C85" s="1">
        <f>Analysis!B41</f>
        <v>14000.053500000002</v>
      </c>
      <c r="E85" s="1" t="str">
        <f/>
        <v xml:space="preserve">Grand Total</v>
      </c>
      <c r="F85" s="1">
        <f/>
        <v>16074.434999999999</v>
      </c>
      <c r="H85"/>
      <c r="I85"/>
      <c r="J85"/>
    </row>
    <row r="86" ht="14.25">
      <c r="B86" s="16">
        <f>Analysis!A42</f>
        <v>44878</v>
      </c>
      <c r="C86" s="1">
        <f>Analysis!B42</f>
        <v>27674.4512</v>
      </c>
      <c r="H86"/>
      <c r="I86"/>
      <c r="J86"/>
    </row>
    <row r="87" ht="14.25">
      <c r="B87" s="16">
        <f>Analysis!A43</f>
        <v>44879</v>
      </c>
      <c r="C87" s="1">
        <f>Analysis!B43</f>
        <v>17839.344499999999</v>
      </c>
      <c r="E87" s="18" t="s">
        <v>4</v>
      </c>
      <c r="H87"/>
      <c r="I87"/>
      <c r="J87"/>
    </row>
    <row r="88" ht="14.25">
      <c r="B88" s="16">
        <f>Analysis!A44</f>
        <v>44880</v>
      </c>
      <c r="C88" s="1">
        <f>Analysis!B44</f>
        <v>13600.030500000001</v>
      </c>
      <c r="E88" t="s">
        <v>12</v>
      </c>
      <c r="F88" t="s">
        <v>18</v>
      </c>
      <c r="G88"/>
      <c r="H88"/>
      <c r="I88"/>
      <c r="J88"/>
    </row>
    <row r="89" ht="14.25">
      <c r="B89" s="16">
        <f>Analysis!A45</f>
        <v>44881</v>
      </c>
      <c r="C89" s="1">
        <f>Analysis!B45</f>
        <v>13600.030500000001</v>
      </c>
      <c r="E89" s="19">
        <v>44896</v>
      </c>
      <c r="F89">
        <v>13400.114400000002</v>
      </c>
      <c r="G89"/>
      <c r="H89"/>
      <c r="I89"/>
      <c r="J89"/>
    </row>
    <row r="90" ht="14.25">
      <c r="B90" s="16">
        <f>Analysis!A46</f>
        <v>44882</v>
      </c>
      <c r="C90" s="1">
        <f>Analysis!B46</f>
        <v>14000.053500000002</v>
      </c>
      <c r="E90" s="19">
        <v>44897</v>
      </c>
      <c r="F90">
        <v>14000.053500000002</v>
      </c>
      <c r="G90"/>
      <c r="H90"/>
      <c r="I90"/>
      <c r="J90"/>
    </row>
    <row r="91" ht="14.25">
      <c r="B91" s="16">
        <f>Analysis!A47</f>
        <v>44883</v>
      </c>
      <c r="C91" s="1">
        <f>Analysis!B47</f>
        <v>14400.111399999998</v>
      </c>
      <c r="E91" s="19">
        <v>44898</v>
      </c>
      <c r="F91">
        <v>14000.053500000002</v>
      </c>
      <c r="G91"/>
      <c r="H91"/>
      <c r="I91"/>
      <c r="J91"/>
    </row>
    <row r="92" ht="14.25">
      <c r="B92" s="16">
        <f>Analysis!A48</f>
        <v>44884</v>
      </c>
      <c r="C92" s="1">
        <f>Analysis!B48</f>
        <v>14000.019400000001</v>
      </c>
      <c r="E92" s="19">
        <v>44899</v>
      </c>
      <c r="F92">
        <v>9000.1006999999991</v>
      </c>
      <c r="G92"/>
      <c r="H92"/>
      <c r="I92"/>
      <c r="J92"/>
    </row>
    <row r="93" ht="14.25">
      <c r="B93" s="16">
        <f>Analysis!A49</f>
        <v>44885</v>
      </c>
      <c r="C93" s="1">
        <f>Analysis!B49</f>
        <v>8200.0465999999997</v>
      </c>
      <c r="E93" s="19">
        <v>44900</v>
      </c>
      <c r="F93">
        <v>14200.0386</v>
      </c>
      <c r="G93"/>
      <c r="H93"/>
      <c r="I93"/>
      <c r="J93"/>
    </row>
    <row r="94" ht="14.25">
      <c r="B94" s="16">
        <f>Analysis!A50</f>
        <v>44886</v>
      </c>
      <c r="C94" s="1">
        <f>Analysis!B50</f>
        <v>14000.0838</v>
      </c>
      <c r="E94" s="19">
        <v>44901</v>
      </c>
      <c r="F94">
        <v>14000.122500000001</v>
      </c>
      <c r="G94"/>
      <c r="H94"/>
      <c r="I94"/>
      <c r="J94"/>
    </row>
    <row r="95" ht="14.25">
      <c r="B95" s="16">
        <f>Analysis!A51</f>
        <v>44887</v>
      </c>
      <c r="C95" s="1">
        <f>Analysis!B51</f>
        <v>13599.9918</v>
      </c>
      <c r="E95" s="19">
        <v>44902</v>
      </c>
      <c r="F95">
        <v>14000.053500000002</v>
      </c>
      <c r="G95"/>
      <c r="H95"/>
      <c r="I95"/>
      <c r="J95"/>
    </row>
    <row r="96" ht="14.25">
      <c r="B96" s="16">
        <f>Analysis!A52</f>
        <v>44888</v>
      </c>
      <c r="C96" s="1">
        <f>Analysis!B52</f>
        <v>13800.037800000002</v>
      </c>
      <c r="E96" s="19">
        <v>44903</v>
      </c>
      <c r="F96">
        <v>14200.0995</v>
      </c>
      <c r="G96"/>
      <c r="H96"/>
      <c r="I96"/>
      <c r="J96"/>
    </row>
    <row r="97" ht="14.25">
      <c r="B97" s="16">
        <f>Analysis!A53</f>
        <v>44889</v>
      </c>
      <c r="C97" s="1">
        <f>Analysis!B53</f>
        <v>13600.025900000001</v>
      </c>
      <c r="E97" s="19">
        <v>44904</v>
      </c>
      <c r="F97">
        <v>14600.061600000001</v>
      </c>
      <c r="G97"/>
      <c r="H97"/>
      <c r="I97"/>
    </row>
    <row r="98" ht="14.25">
      <c r="B98" s="16">
        <f>Analysis!A54</f>
        <v>44890</v>
      </c>
      <c r="C98" s="1">
        <f>Analysis!B54</f>
        <v>13399.979900000002</v>
      </c>
      <c r="E98" s="19">
        <v>44905</v>
      </c>
      <c r="F98">
        <v>14600.061600000001</v>
      </c>
      <c r="G98"/>
      <c r="H98"/>
      <c r="I98"/>
    </row>
    <row r="99" ht="14.25">
      <c r="B99" s="16">
        <f>Analysis!A55</f>
        <v>44891</v>
      </c>
      <c r="C99" s="1">
        <f>Analysis!B55</f>
        <v>13200.0638</v>
      </c>
      <c r="E99" s="19">
        <v>44906</v>
      </c>
      <c r="F99">
        <v>15000.088100000001</v>
      </c>
      <c r="G99"/>
      <c r="H99"/>
      <c r="I99"/>
    </row>
    <row r="100" ht="14.25">
      <c r="B100" s="16">
        <f>Analysis!A56</f>
        <v>44892</v>
      </c>
      <c r="C100" s="1">
        <f>Analysis!B56</f>
        <v>13399.979900000002</v>
      </c>
      <c r="E100" s="19">
        <v>44907</v>
      </c>
      <c r="F100">
        <v>14600.061600000001</v>
      </c>
      <c r="G100"/>
      <c r="H100"/>
      <c r="I100"/>
    </row>
    <row r="101" ht="14.25">
      <c r="B101" s="16">
        <f>Analysis!A57</f>
        <v>44893</v>
      </c>
      <c r="C101" s="1">
        <f>Analysis!B57</f>
        <v>13400.045399999999</v>
      </c>
      <c r="E101" s="19">
        <v>44908</v>
      </c>
      <c r="F101">
        <v>14600.061600000001</v>
      </c>
      <c r="G101"/>
      <c r="H101"/>
      <c r="I101"/>
    </row>
    <row r="102" ht="14.25">
      <c r="B102" s="16">
        <f>Analysis!A58</f>
        <v>44894</v>
      </c>
      <c r="C102" s="1">
        <f>Analysis!B58</f>
        <v>13400.045399999999</v>
      </c>
      <c r="E102" s="19">
        <v>44909</v>
      </c>
      <c r="F102">
        <v>14600.010600000001</v>
      </c>
      <c r="G102"/>
      <c r="H102"/>
      <c r="I102"/>
    </row>
    <row r="103" ht="14.25">
      <c r="B103" s="16">
        <f>Analysis!A59</f>
        <v>44895</v>
      </c>
      <c r="C103" s="1">
        <f>Analysis!B59</f>
        <v>13600.091400000001</v>
      </c>
      <c r="E103" s="19">
        <v>44910</v>
      </c>
      <c r="F103">
        <v>14400.094499999999</v>
      </c>
      <c r="G103"/>
      <c r="H103"/>
      <c r="I103"/>
    </row>
    <row r="104" ht="14.25">
      <c r="B104" s="16">
        <f>Analysis!A60</f>
        <v>44896</v>
      </c>
      <c r="C104" s="1">
        <f>Analysis!B60</f>
        <v>13400.114400000002</v>
      </c>
      <c r="E104" s="19">
        <v>44911</v>
      </c>
      <c r="F104">
        <v>15000.037099999998</v>
      </c>
      <c r="G104"/>
      <c r="H104"/>
      <c r="I104"/>
    </row>
    <row r="105" ht="14.25">
      <c r="B105" s="16">
        <f>Analysis!A61</f>
        <v>44897</v>
      </c>
      <c r="C105" s="1">
        <f>Analysis!B61</f>
        <v>14000.053500000002</v>
      </c>
      <c r="E105" s="19">
        <v>44912</v>
      </c>
      <c r="F105">
        <v>15400.095000000001</v>
      </c>
      <c r="G105"/>
      <c r="H105"/>
      <c r="I105"/>
    </row>
    <row r="106" ht="14.25">
      <c r="B106" s="16">
        <f>Analysis!A62</f>
        <v>44898</v>
      </c>
      <c r="C106" s="1">
        <f>Analysis!B62</f>
        <v>14000.053500000002</v>
      </c>
      <c r="E106" s="19">
        <v>44913</v>
      </c>
      <c r="F106">
        <v>15600.0111</v>
      </c>
      <c r="H106"/>
      <c r="I106"/>
    </row>
    <row r="107" ht="14.25">
      <c r="B107" s="16">
        <f>Analysis!A63</f>
        <v>44899</v>
      </c>
      <c r="C107" s="1">
        <f>Analysis!B63</f>
        <v>9000.1006999999991</v>
      </c>
      <c r="E107" s="19">
        <v>44914</v>
      </c>
      <c r="F107">
        <v>15799.961299999999</v>
      </c>
      <c r="H107"/>
      <c r="I107"/>
    </row>
    <row r="108" ht="14.25">
      <c r="B108" s="16">
        <f>Analysis!A64</f>
        <v>44900</v>
      </c>
      <c r="C108" s="1">
        <f>Analysis!B64</f>
        <v>14200.0386</v>
      </c>
      <c r="E108" s="19">
        <v>44915</v>
      </c>
      <c r="F108">
        <v>16000.007300000001</v>
      </c>
      <c r="H108"/>
      <c r="I108"/>
    </row>
    <row r="109" ht="14.25">
      <c r="B109" s="16">
        <f>Analysis!A65</f>
        <v>44901</v>
      </c>
      <c r="C109" s="1">
        <f>Analysis!B65</f>
        <v>14000.122500000001</v>
      </c>
      <c r="E109" s="19">
        <v>44916</v>
      </c>
      <c r="F109">
        <v>16399.969400000002</v>
      </c>
      <c r="H109"/>
      <c r="I109"/>
    </row>
    <row r="110" ht="14.25">
      <c r="B110" s="16">
        <f>Analysis!A66</f>
        <v>44902</v>
      </c>
      <c r="C110" s="1">
        <f>Analysis!B66</f>
        <v>14000.053500000002</v>
      </c>
      <c r="E110" s="19">
        <v>44917</v>
      </c>
      <c r="F110">
        <v>16599.964400000001</v>
      </c>
      <c r="H110"/>
      <c r="I110"/>
    </row>
    <row r="111" ht="14.25">
      <c r="B111" s="16">
        <f>Analysis!A67</f>
        <v>44903</v>
      </c>
      <c r="C111" s="1">
        <f>Analysis!B67</f>
        <v>14200.0995</v>
      </c>
      <c r="E111" s="19">
        <v>44918</v>
      </c>
      <c r="F111">
        <v>16000.021800000002</v>
      </c>
      <c r="H111"/>
      <c r="I111"/>
    </row>
    <row r="112" ht="14.25">
      <c r="B112" s="16">
        <f>Analysis!A68</f>
        <v>44904</v>
      </c>
      <c r="C112" s="1">
        <f>Analysis!B68</f>
        <v>14600.061600000001</v>
      </c>
      <c r="E112" s="19">
        <v>44919</v>
      </c>
      <c r="F112">
        <v>16399.983900000003</v>
      </c>
      <c r="H112"/>
      <c r="I112"/>
    </row>
    <row r="113" ht="14.25">
      <c r="B113" s="16">
        <f>Analysis!A69</f>
        <v>44905</v>
      </c>
      <c r="C113" s="1">
        <f>Analysis!B69</f>
        <v>14600.061600000001</v>
      </c>
      <c r="E113" s="19">
        <v>44920</v>
      </c>
      <c r="F113">
        <v>16599.978900000002</v>
      </c>
      <c r="H113"/>
      <c r="I113"/>
    </row>
    <row r="114" ht="14.25">
      <c r="B114" s="16">
        <f>Analysis!A70</f>
        <v>44906</v>
      </c>
      <c r="C114" s="1">
        <f>Analysis!B70</f>
        <v>15000.088100000001</v>
      </c>
      <c r="E114" s="19">
        <v>44921</v>
      </c>
      <c r="F114">
        <v>17000.019900000003</v>
      </c>
      <c r="H114"/>
      <c r="I114"/>
    </row>
    <row r="115" ht="14.25">
      <c r="B115" s="16">
        <f>Analysis!A71</f>
        <v>44907</v>
      </c>
      <c r="C115" s="1">
        <f>Analysis!B71</f>
        <v>14600.061600000001</v>
      </c>
      <c r="E115" s="19">
        <v>44922</v>
      </c>
      <c r="F115">
        <v>17000.019900000003</v>
      </c>
      <c r="H115"/>
      <c r="I115"/>
    </row>
    <row r="116" ht="14.25">
      <c r="B116" s="16">
        <f>Analysis!A72</f>
        <v>44908</v>
      </c>
      <c r="C116" s="1">
        <f>Analysis!B72</f>
        <v>14600.061600000001</v>
      </c>
      <c r="E116" s="19">
        <v>44923</v>
      </c>
      <c r="F116">
        <v>17599.976999999999</v>
      </c>
      <c r="H116"/>
      <c r="I116"/>
    </row>
    <row r="117" ht="14.25">
      <c r="B117" s="16">
        <f>Analysis!A73</f>
        <v>44909</v>
      </c>
      <c r="C117" s="1">
        <f>Analysis!B73</f>
        <v>14600.010600000001</v>
      </c>
      <c r="E117" s="19">
        <v>44924</v>
      </c>
      <c r="F117">
        <v>16800.077999999998</v>
      </c>
      <c r="H117"/>
      <c r="I117"/>
    </row>
    <row r="118" ht="14.25">
      <c r="B118" s="16">
        <f>Analysis!A74</f>
        <v>44910</v>
      </c>
      <c r="C118" s="1">
        <f>Analysis!B74</f>
        <v>14400.094499999999</v>
      </c>
      <c r="E118" s="17" t="s">
        <v>17</v>
      </c>
      <c r="F118">
        <v>437401.20079999999</v>
      </c>
      <c r="H118"/>
      <c r="I118"/>
    </row>
    <row r="119" ht="14.25">
      <c r="B119" s="16">
        <f>Analysis!A75</f>
        <v>44911</v>
      </c>
      <c r="C119" s="1">
        <f>Analysis!B75</f>
        <v>15000.037099999998</v>
      </c>
      <c r="E119"/>
      <c r="F119"/>
      <c r="H119"/>
      <c r="I119"/>
    </row>
    <row r="120" ht="14.25">
      <c r="B120" s="16">
        <f>Analysis!A76</f>
        <v>44912</v>
      </c>
      <c r="C120" s="1">
        <f>Analysis!B76</f>
        <v>15400.095000000001</v>
      </c>
      <c r="E120" t="s">
        <v>12</v>
      </c>
      <c r="F120" t="s">
        <v>13</v>
      </c>
      <c r="G120"/>
      <c r="H120"/>
      <c r="I120"/>
    </row>
    <row r="121" ht="14.25">
      <c r="B121" s="16">
        <f>Analysis!A77</f>
        <v>44913</v>
      </c>
      <c r="C121" s="1">
        <f>Analysis!B77</f>
        <v>15600.0111</v>
      </c>
      <c r="E121" s="19">
        <v>44896</v>
      </c>
      <c r="F121">
        <v>5</v>
      </c>
      <c r="G121"/>
      <c r="H121"/>
      <c r="I121"/>
    </row>
    <row r="122" ht="14.25">
      <c r="B122" s="16">
        <f>Analysis!A78</f>
        <v>44914</v>
      </c>
      <c r="C122" s="1">
        <f>Analysis!B78</f>
        <v>15799.961299999999</v>
      </c>
      <c r="E122" s="19">
        <v>44897</v>
      </c>
      <c r="F122">
        <v>5</v>
      </c>
      <c r="G122"/>
      <c r="H122"/>
      <c r="I122"/>
    </row>
    <row r="123" ht="14.25">
      <c r="B123" s="16">
        <f>Analysis!A79</f>
        <v>44915</v>
      </c>
      <c r="C123" s="1">
        <f>Analysis!B79</f>
        <v>16000.007300000001</v>
      </c>
      <c r="E123" s="19">
        <v>44898</v>
      </c>
      <c r="F123">
        <v>5</v>
      </c>
      <c r="G123"/>
      <c r="H123"/>
      <c r="I123"/>
    </row>
    <row r="124" ht="14.25">
      <c r="B124" s="16">
        <f>Analysis!A80</f>
        <v>44916</v>
      </c>
      <c r="C124" s="1">
        <f>Analysis!B80</f>
        <v>16399.969400000002</v>
      </c>
      <c r="E124" s="19">
        <v>44899</v>
      </c>
      <c r="F124">
        <v>2</v>
      </c>
      <c r="G124"/>
      <c r="H124"/>
      <c r="I124"/>
    </row>
    <row r="125" ht="14.25">
      <c r="B125" s="16">
        <f>Analysis!A81</f>
        <v>44917</v>
      </c>
      <c r="C125" s="1">
        <f>Analysis!B81</f>
        <v>16599.964400000001</v>
      </c>
      <c r="E125" s="19">
        <v>44900</v>
      </c>
      <c r="F125">
        <v>5</v>
      </c>
      <c r="G125"/>
      <c r="H125"/>
      <c r="I125"/>
    </row>
    <row r="126" ht="14.25">
      <c r="B126" s="16">
        <f>Analysis!A82</f>
        <v>44918</v>
      </c>
      <c r="C126" s="1">
        <f>Analysis!B82</f>
        <v>16000.021800000002</v>
      </c>
      <c r="E126" s="19">
        <v>44901</v>
      </c>
      <c r="F126">
        <v>5</v>
      </c>
      <c r="G126"/>
      <c r="H126"/>
      <c r="I126"/>
    </row>
    <row r="127" ht="14.25">
      <c r="B127" s="16">
        <f>Analysis!A83</f>
        <v>44919</v>
      </c>
      <c r="C127" s="1">
        <f>Analysis!B83</f>
        <v>16399.983900000003</v>
      </c>
      <c r="E127" s="19">
        <v>44902</v>
      </c>
      <c r="F127">
        <v>5</v>
      </c>
      <c r="G127"/>
      <c r="H127"/>
      <c r="I127"/>
    </row>
    <row r="128" ht="14.25">
      <c r="B128" s="16">
        <f>Analysis!A84</f>
        <v>44920</v>
      </c>
      <c r="C128" s="1">
        <f>Analysis!B84</f>
        <v>16599.978900000002</v>
      </c>
      <c r="E128" s="19">
        <v>44903</v>
      </c>
      <c r="F128">
        <v>5</v>
      </c>
      <c r="G128"/>
      <c r="H128"/>
      <c r="I128"/>
    </row>
    <row r="129" ht="14.25">
      <c r="B129" s="16">
        <f>Analysis!A85</f>
        <v>44921</v>
      </c>
      <c r="C129" s="1">
        <f>Analysis!B85</f>
        <v>17000.019900000003</v>
      </c>
      <c r="E129" s="19">
        <v>44904</v>
      </c>
      <c r="F129">
        <v>5</v>
      </c>
      <c r="G129"/>
      <c r="H129"/>
      <c r="I129"/>
    </row>
    <row r="130" ht="14.25">
      <c r="B130" s="16">
        <f>Analysis!A86</f>
        <v>44922</v>
      </c>
      <c r="C130" s="1">
        <f>Analysis!B86</f>
        <v>17000.019900000003</v>
      </c>
      <c r="E130" s="19">
        <v>44905</v>
      </c>
      <c r="F130">
        <v>5</v>
      </c>
      <c r="G130"/>
      <c r="H130"/>
      <c r="I130"/>
    </row>
    <row r="131" ht="14.25">
      <c r="B131" s="16">
        <f>Analysis!A87</f>
        <v>44923</v>
      </c>
      <c r="C131" s="1">
        <f>Analysis!B87</f>
        <v>17599.976999999999</v>
      </c>
      <c r="E131" s="19">
        <v>44906</v>
      </c>
      <c r="F131">
        <v>5</v>
      </c>
      <c r="G131"/>
      <c r="H131"/>
      <c r="I131"/>
    </row>
    <row r="132" ht="14.25">
      <c r="B132" s="16">
        <f>Analysis!A88</f>
        <v>44924</v>
      </c>
      <c r="C132" s="1">
        <f>Analysis!B88</f>
        <v>16800.077999999998</v>
      </c>
      <c r="E132" s="19">
        <v>44907</v>
      </c>
      <c r="F132">
        <v>5</v>
      </c>
      <c r="G132"/>
      <c r="H132"/>
      <c r="I132"/>
    </row>
    <row r="133" ht="14.25">
      <c r="B133" s="16" t="str">
        <f>Analysis!A89</f>
        <v xml:space="preserve">Grand Total</v>
      </c>
      <c r="C133" s="1">
        <f>Analysis!B89</f>
        <v>769515.85919999983</v>
      </c>
      <c r="E133" s="19">
        <v>44908</v>
      </c>
      <c r="F133">
        <v>5</v>
      </c>
      <c r="G133"/>
      <c r="H133"/>
      <c r="I133"/>
    </row>
    <row r="134" ht="14.25">
      <c r="E134" s="19">
        <v>44909</v>
      </c>
      <c r="F134">
        <v>5</v>
      </c>
      <c r="G134"/>
      <c r="H134"/>
      <c r="I134"/>
    </row>
    <row r="135" ht="14.25">
      <c r="E135" s="19">
        <v>44910</v>
      </c>
      <c r="F135">
        <v>5</v>
      </c>
      <c r="G135"/>
      <c r="H135"/>
      <c r="I135"/>
    </row>
    <row r="136" ht="14.25">
      <c r="E136" s="19">
        <v>44911</v>
      </c>
      <c r="F136">
        <v>5</v>
      </c>
      <c r="G136"/>
      <c r="H136"/>
      <c r="I136"/>
    </row>
    <row r="137" ht="14.25">
      <c r="E137" s="19">
        <v>44912</v>
      </c>
      <c r="F137">
        <v>5</v>
      </c>
      <c r="G137"/>
      <c r="H137"/>
      <c r="I137"/>
    </row>
    <row r="138" ht="14.25">
      <c r="E138" s="19">
        <v>44913</v>
      </c>
      <c r="F138">
        <v>5</v>
      </c>
      <c r="H138"/>
      <c r="I138"/>
    </row>
    <row r="139" ht="14.25">
      <c r="E139" s="19">
        <v>44914</v>
      </c>
      <c r="F139">
        <v>5</v>
      </c>
      <c r="H139"/>
      <c r="I139"/>
    </row>
    <row r="140" ht="14.25">
      <c r="E140" s="19">
        <v>44915</v>
      </c>
      <c r="F140">
        <v>5</v>
      </c>
      <c r="H140"/>
      <c r="I140"/>
    </row>
    <row r="141" ht="14.25">
      <c r="E141" s="19">
        <v>44916</v>
      </c>
      <c r="F141">
        <v>5</v>
      </c>
      <c r="H141"/>
      <c r="I141"/>
    </row>
    <row r="142" ht="14.25">
      <c r="E142" s="19">
        <v>44917</v>
      </c>
      <c r="F142">
        <v>5</v>
      </c>
      <c r="H142"/>
      <c r="I142"/>
    </row>
    <row r="143" ht="14.25">
      <c r="E143" s="19">
        <v>44918</v>
      </c>
      <c r="F143">
        <v>5</v>
      </c>
      <c r="H143"/>
      <c r="I143"/>
    </row>
    <row r="144" ht="14.25">
      <c r="E144" s="19">
        <v>44919</v>
      </c>
      <c r="F144">
        <v>5</v>
      </c>
      <c r="H144"/>
      <c r="I144"/>
    </row>
    <row r="145" ht="14.25">
      <c r="E145" s="19">
        <v>44920</v>
      </c>
      <c r="F145">
        <v>5</v>
      </c>
      <c r="H145"/>
      <c r="I145"/>
    </row>
    <row r="146" ht="14.25">
      <c r="E146" s="19">
        <v>44921</v>
      </c>
      <c r="F146">
        <v>5</v>
      </c>
      <c r="H146"/>
      <c r="I146"/>
    </row>
    <row r="147" ht="14.25">
      <c r="E147" s="19">
        <v>44922</v>
      </c>
      <c r="F147">
        <v>5</v>
      </c>
      <c r="H147"/>
      <c r="I147"/>
    </row>
    <row r="148" ht="14.25">
      <c r="E148" s="19">
        <v>44923</v>
      </c>
      <c r="F148">
        <v>5</v>
      </c>
      <c r="H148"/>
      <c r="I148"/>
    </row>
    <row r="149" ht="14.25">
      <c r="E149" s="19">
        <v>44924</v>
      </c>
      <c r="F149">
        <v>4</v>
      </c>
      <c r="H149"/>
      <c r="I149"/>
    </row>
    <row r="150" ht="14.25">
      <c r="E150" s="17" t="s">
        <v>17</v>
      </c>
      <c r="F150">
        <v>141</v>
      </c>
      <c r="H150"/>
      <c r="I150"/>
    </row>
    <row r="151" ht="14.25">
      <c r="E151"/>
      <c r="F151"/>
      <c r="H151"/>
      <c r="I151"/>
    </row>
    <row r="152" ht="14.25">
      <c r="E152"/>
      <c r="F152"/>
      <c r="H152"/>
      <c r="I152"/>
    </row>
    <row r="153" ht="14.25">
      <c r="E153"/>
      <c r="F153"/>
      <c r="H153"/>
      <c r="I153"/>
    </row>
    <row r="154" ht="14.25">
      <c r="E154"/>
      <c r="F154"/>
      <c r="H154"/>
      <c r="I154"/>
    </row>
    <row r="155" ht="14.25">
      <c r="E155"/>
      <c r="F155"/>
      <c r="H155"/>
      <c r="I155"/>
    </row>
    <row r="156" ht="14.25">
      <c r="E156"/>
      <c r="F156"/>
      <c r="H156"/>
      <c r="I156"/>
    </row>
    <row r="157" ht="14.25">
      <c r="E157"/>
      <c r="F157"/>
      <c r="H157"/>
      <c r="I157"/>
    </row>
    <row r="158" ht="14.25">
      <c r="E158"/>
      <c r="F158"/>
      <c r="H158"/>
      <c r="I158"/>
    </row>
    <row r="159" ht="14.25">
      <c r="E159"/>
      <c r="F159"/>
      <c r="H159"/>
      <c r="I159"/>
    </row>
    <row r="160" ht="14.25">
      <c r="E160"/>
      <c r="F160"/>
      <c r="H160"/>
      <c r="I160"/>
    </row>
    <row r="161" ht="14.25">
      <c r="E161"/>
      <c r="F161"/>
      <c r="H161"/>
      <c r="I161"/>
    </row>
    <row r="162" ht="14.25">
      <c r="E162"/>
      <c r="F162"/>
      <c r="H162"/>
      <c r="I162"/>
    </row>
    <row r="163" ht="14.25">
      <c r="E163"/>
      <c r="F163"/>
      <c r="H163"/>
      <c r="I163"/>
    </row>
    <row r="164" ht="14.25">
      <c r="E164"/>
      <c r="F164"/>
      <c r="H164"/>
      <c r="I164"/>
    </row>
    <row r="165" ht="14.25">
      <c r="E165"/>
      <c r="F165"/>
      <c r="H165"/>
      <c r="I165"/>
    </row>
    <row r="166" ht="14.25">
      <c r="E166"/>
      <c r="F166"/>
      <c r="H166"/>
      <c r="I166"/>
    </row>
    <row r="167" ht="14.25">
      <c r="E167"/>
      <c r="F167"/>
      <c r="H167"/>
      <c r="I167"/>
    </row>
    <row r="168" ht="14.25">
      <c r="E168"/>
      <c r="F168"/>
      <c r="H168"/>
      <c r="I168"/>
    </row>
    <row r="169" ht="14.25">
      <c r="E169"/>
      <c r="F169"/>
      <c r="H169"/>
      <c r="I169"/>
    </row>
    <row r="170" ht="14.25">
      <c r="E170"/>
      <c r="F170"/>
      <c r="H170"/>
      <c r="I170"/>
    </row>
    <row r="171" ht="14.25">
      <c r="E171"/>
      <c r="F171"/>
      <c r="H171"/>
      <c r="I171"/>
    </row>
    <row r="172" ht="14.25">
      <c r="E172"/>
      <c r="F172"/>
      <c r="H172"/>
      <c r="I172"/>
    </row>
    <row r="173" ht="14.25">
      <c r="E173"/>
      <c r="F173"/>
      <c r="H173"/>
      <c r="I173"/>
    </row>
    <row r="174" ht="14.25">
      <c r="E174"/>
      <c r="H174"/>
      <c r="I174"/>
    </row>
    <row r="175" ht="14.25">
      <c r="E175"/>
      <c r="F175"/>
      <c r="H175"/>
      <c r="I175"/>
    </row>
    <row r="176" ht="14.25">
      <c r="E176"/>
      <c r="H176"/>
      <c r="I176"/>
    </row>
    <row r="177" ht="14.25">
      <c r="E177"/>
      <c r="H177"/>
      <c r="I177"/>
    </row>
    <row r="178" ht="14.25">
      <c r="E178"/>
      <c r="H178"/>
      <c r="I178"/>
    </row>
    <row r="179" ht="14.25">
      <c r="E179"/>
      <c r="H179"/>
      <c r="I179"/>
    </row>
    <row r="180" ht="14.25">
      <c r="E180"/>
      <c r="H180"/>
      <c r="I180"/>
    </row>
    <row r="181" ht="14.25">
      <c r="E181"/>
      <c r="H181"/>
      <c r="I181"/>
    </row>
    <row r="182" ht="14.25">
      <c r="E182"/>
      <c r="H182"/>
      <c r="I182"/>
    </row>
    <row r="183" ht="14.25">
      <c r="E183"/>
      <c r="H183"/>
      <c r="I183"/>
    </row>
    <row r="184" ht="14.25">
      <c r="E184"/>
      <c r="H184"/>
      <c r="I184"/>
    </row>
    <row r="185" ht="14.25">
      <c r="E185"/>
      <c r="H185"/>
      <c r="I185"/>
    </row>
    <row r="186" ht="14.25">
      <c r="E186"/>
      <c r="H186"/>
      <c r="I186"/>
    </row>
    <row r="187" ht="14.25">
      <c r="E187"/>
      <c r="H187"/>
      <c r="I187"/>
    </row>
    <row r="188" ht="14.25">
      <c r="E188"/>
      <c r="H188"/>
      <c r="I188"/>
    </row>
    <row r="189" ht="14.25">
      <c r="E189"/>
      <c r="H189"/>
      <c r="I189"/>
    </row>
    <row r="190" ht="14.25">
      <c r="E190"/>
      <c r="H190"/>
      <c r="I190"/>
    </row>
    <row r="191" ht="14.25">
      <c r="E191"/>
      <c r="H191"/>
      <c r="I191"/>
    </row>
    <row r="192" ht="14.25">
      <c r="E192"/>
      <c r="H192"/>
      <c r="I192"/>
    </row>
    <row r="193" ht="14.25">
      <c r="E193"/>
      <c r="H193"/>
      <c r="I193"/>
    </row>
    <row r="194" ht="14.25">
      <c r="E194"/>
      <c r="H194"/>
      <c r="I194"/>
    </row>
    <row r="195" ht="14.25">
      <c r="E195"/>
      <c r="H195"/>
      <c r="I195"/>
    </row>
    <row r="196" ht="14.25">
      <c r="E196"/>
      <c r="H196"/>
      <c r="I196"/>
    </row>
    <row r="197" ht="14.25">
      <c r="E197"/>
      <c r="H197"/>
      <c r="I197"/>
    </row>
    <row r="198" ht="14.25">
      <c r="E198"/>
      <c r="H198"/>
      <c r="I198"/>
    </row>
    <row r="199" ht="14.25">
      <c r="E199"/>
      <c r="H199"/>
      <c r="I199"/>
    </row>
    <row r="200" ht="14.25">
      <c r="E200"/>
      <c r="H200"/>
      <c r="I200"/>
    </row>
    <row r="201" ht="14.25">
      <c r="E201"/>
      <c r="H201"/>
      <c r="I201"/>
    </row>
    <row r="202" ht="14.25">
      <c r="E202"/>
      <c r="H202"/>
      <c r="I202"/>
    </row>
    <row r="203" ht="14.25">
      <c r="E203"/>
      <c r="H203"/>
      <c r="I203"/>
    </row>
    <row r="204" ht="14.25">
      <c r="E204"/>
      <c r="H204"/>
      <c r="I204"/>
    </row>
    <row r="205" ht="14.25">
      <c r="E205"/>
      <c r="H205"/>
      <c r="I205"/>
    </row>
    <row r="206" ht="14.25">
      <c r="E206"/>
      <c r="H206"/>
      <c r="I206"/>
    </row>
    <row r="207" ht="14.25">
      <c r="E207"/>
      <c r="H207"/>
      <c r="I207"/>
    </row>
    <row r="208" ht="14.25">
      <c r="E208"/>
      <c r="H208"/>
      <c r="I208"/>
    </row>
    <row r="209" ht="14.25">
      <c r="E209"/>
      <c r="H209"/>
      <c r="I209"/>
    </row>
    <row r="210" ht="14.25">
      <c r="E210"/>
      <c r="H210"/>
      <c r="I210"/>
    </row>
    <row r="211" ht="14.25">
      <c r="E211"/>
      <c r="H211"/>
      <c r="I211"/>
    </row>
    <row r="212" ht="14.25">
      <c r="E212"/>
      <c r="H212"/>
      <c r="I212"/>
    </row>
    <row r="213" ht="14.25">
      <c r="E213"/>
      <c r="H213"/>
      <c r="I213"/>
    </row>
    <row r="214" ht="14.25">
      <c r="E214"/>
      <c r="H214"/>
      <c r="I214"/>
    </row>
    <row r="215" ht="14.25">
      <c r="E215"/>
      <c r="H215"/>
      <c r="I215"/>
    </row>
    <row r="216" ht="14.25">
      <c r="E216"/>
      <c r="H216"/>
      <c r="I216"/>
    </row>
    <row r="217" ht="14.25">
      <c r="E217"/>
      <c r="H217"/>
      <c r="I217"/>
    </row>
    <row r="218" ht="14.25">
      <c r="E218"/>
      <c r="H218"/>
      <c r="I218"/>
    </row>
    <row r="219" ht="14.25">
      <c r="E219"/>
      <c r="H219"/>
      <c r="I219"/>
    </row>
    <row r="220" ht="14.25">
      <c r="E220"/>
      <c r="H220"/>
      <c r="I220"/>
    </row>
    <row r="221" ht="14.25">
      <c r="E221"/>
      <c r="H221"/>
      <c r="I221"/>
    </row>
    <row r="222" ht="14.25">
      <c r="E222"/>
      <c r="H222"/>
      <c r="I222"/>
    </row>
    <row r="223" ht="14.25">
      <c r="E223"/>
      <c r="H223"/>
      <c r="I223"/>
    </row>
    <row r="224" ht="14.25">
      <c r="E224"/>
      <c r="H224"/>
      <c r="I224"/>
    </row>
    <row r="225" ht="14.25">
      <c r="E225"/>
      <c r="H225"/>
      <c r="I225"/>
    </row>
    <row r="226" ht="14.25">
      <c r="E226"/>
      <c r="H226"/>
      <c r="I226"/>
    </row>
    <row r="227" ht="14.25">
      <c r="E227"/>
      <c r="H227"/>
      <c r="I227"/>
    </row>
    <row r="228" ht="14.25">
      <c r="E228"/>
      <c r="H228"/>
      <c r="I228"/>
    </row>
    <row r="229" ht="14.25">
      <c r="E229"/>
      <c r="H229"/>
      <c r="I229"/>
    </row>
    <row r="230" ht="14.25">
      <c r="E230"/>
      <c r="H230"/>
      <c r="I230"/>
    </row>
    <row r="231" ht="14.25">
      <c r="E231"/>
      <c r="H231"/>
      <c r="I231"/>
    </row>
    <row r="232" ht="14.25">
      <c r="E232"/>
      <c r="H232"/>
      <c r="I232"/>
    </row>
    <row r="233" ht="14.25">
      <c r="E233"/>
      <c r="H233"/>
      <c r="I233"/>
    </row>
    <row r="234" ht="14.25">
      <c r="E234"/>
      <c r="H234"/>
      <c r="I234"/>
    </row>
    <row r="235" ht="14.25">
      <c r="E235"/>
      <c r="H235"/>
      <c r="I235"/>
    </row>
    <row r="236" ht="14.25">
      <c r="E236"/>
      <c r="H236"/>
      <c r="I236"/>
    </row>
    <row r="237" ht="14.25">
      <c r="E237"/>
      <c r="H237"/>
      <c r="I237"/>
    </row>
    <row r="238" ht="14.25">
      <c r="E238"/>
      <c r="H238"/>
      <c r="I238"/>
    </row>
    <row r="239" ht="14.25">
      <c r="E239"/>
      <c r="H239"/>
      <c r="I239"/>
    </row>
    <row r="240" ht="14.25">
      <c r="E240"/>
      <c r="H240"/>
      <c r="I240"/>
    </row>
    <row r="241" ht="14.25">
      <c r="E241"/>
      <c r="H241"/>
      <c r="I241"/>
    </row>
    <row r="242" ht="14.25">
      <c r="E242"/>
      <c r="H242"/>
      <c r="I242"/>
    </row>
    <row r="243" ht="14.25">
      <c r="E243"/>
      <c r="H243"/>
      <c r="I243"/>
    </row>
    <row r="244" ht="14.25">
      <c r="E244"/>
      <c r="H244"/>
      <c r="I244"/>
    </row>
    <row r="245" ht="14.25">
      <c r="E245"/>
      <c r="H245"/>
      <c r="I245"/>
    </row>
    <row r="246" ht="14.25">
      <c r="E246"/>
      <c r="H246"/>
      <c r="I246"/>
    </row>
    <row r="247" ht="14.25">
      <c r="E247"/>
      <c r="H247"/>
      <c r="I247"/>
    </row>
    <row r="248" ht="14.25">
      <c r="E248"/>
      <c r="H248"/>
      <c r="I248"/>
    </row>
    <row r="249" ht="14.25">
      <c r="E249"/>
      <c r="H249"/>
      <c r="I249"/>
    </row>
    <row r="250" ht="14.25">
      <c r="E250"/>
      <c r="H250"/>
      <c r="I250"/>
    </row>
    <row r="251" ht="14.25">
      <c r="E251"/>
      <c r="H251"/>
      <c r="I251"/>
    </row>
    <row r="252" ht="14.25">
      <c r="E252"/>
      <c r="H252"/>
      <c r="I252"/>
    </row>
    <row r="253" ht="14.25">
      <c r="E253"/>
      <c r="H253"/>
      <c r="I253"/>
    </row>
    <row r="254" ht="14.25">
      <c r="E254"/>
      <c r="H254"/>
      <c r="I254"/>
    </row>
    <row r="255" ht="14.25">
      <c r="E255"/>
      <c r="H255"/>
      <c r="I255"/>
    </row>
    <row r="256" ht="14.25">
      <c r="E256"/>
      <c r="H256"/>
      <c r="I256"/>
    </row>
    <row r="257" ht="14.25">
      <c r="E257"/>
      <c r="H257"/>
      <c r="I257"/>
    </row>
    <row r="258" ht="14.25">
      <c r="E258"/>
      <c r="H258"/>
      <c r="I258"/>
    </row>
    <row r="259" ht="14.25">
      <c r="E259"/>
      <c r="H259"/>
      <c r="I259"/>
    </row>
    <row r="260" ht="14.25">
      <c r="E260"/>
      <c r="H260"/>
      <c r="I260"/>
    </row>
    <row r="261" ht="14.25">
      <c r="E261"/>
      <c r="H261"/>
      <c r="I261"/>
    </row>
    <row r="262" ht="14.25">
      <c r="E262"/>
      <c r="H262"/>
      <c r="I262"/>
    </row>
    <row r="263" ht="14.25">
      <c r="E263"/>
      <c r="H263"/>
      <c r="I263"/>
    </row>
    <row r="264" ht="14.25">
      <c r="E264"/>
      <c r="H264"/>
      <c r="I264"/>
    </row>
    <row r="265" ht="14.25">
      <c r="E265"/>
      <c r="H265"/>
      <c r="I265"/>
    </row>
    <row r="266" ht="14.25">
      <c r="E266"/>
      <c r="H266"/>
      <c r="I266"/>
    </row>
    <row r="267" ht="14.25">
      <c r="E267"/>
      <c r="H267"/>
      <c r="I267"/>
    </row>
    <row r="268" ht="14.25">
      <c r="E268"/>
      <c r="H268"/>
      <c r="I268"/>
    </row>
    <row r="269" ht="14.25">
      <c r="E269"/>
      <c r="H269"/>
      <c r="I269"/>
    </row>
    <row r="270" ht="14.25">
      <c r="E270"/>
      <c r="H270"/>
      <c r="I270"/>
    </row>
    <row r="271" ht="14.25">
      <c r="E271"/>
      <c r="H271"/>
      <c r="I271"/>
    </row>
    <row r="272" ht="14.25">
      <c r="E272"/>
      <c r="H272"/>
      <c r="I272"/>
    </row>
    <row r="273" ht="14.25">
      <c r="E273"/>
      <c r="H273"/>
      <c r="I273"/>
    </row>
    <row r="274" ht="14.25">
      <c r="E274"/>
      <c r="H274"/>
      <c r="I274"/>
    </row>
    <row r="275" ht="14.25">
      <c r="E275"/>
      <c r="H275"/>
      <c r="I275"/>
    </row>
    <row r="276" ht="14.25">
      <c r="E276"/>
      <c r="H276"/>
      <c r="I276"/>
    </row>
    <row r="277" ht="14.25">
      <c r="E277"/>
      <c r="H277"/>
      <c r="I277"/>
    </row>
    <row r="278" ht="14.25">
      <c r="E278"/>
      <c r="H278"/>
      <c r="I278"/>
    </row>
    <row r="279" ht="14.25">
      <c r="E279"/>
      <c r="H279"/>
      <c r="I279"/>
    </row>
    <row r="280" ht="14.25">
      <c r="E280"/>
      <c r="H280"/>
      <c r="I280"/>
    </row>
    <row r="281" ht="14.25">
      <c r="E281"/>
      <c r="H281"/>
      <c r="I281"/>
    </row>
    <row r="282" ht="14.25">
      <c r="E282"/>
      <c r="H282"/>
      <c r="I282"/>
    </row>
    <row r="283" ht="14.25">
      <c r="E283"/>
      <c r="H283"/>
      <c r="I283"/>
    </row>
    <row r="284" ht="14.25">
      <c r="E284"/>
      <c r="H284"/>
      <c r="I284"/>
    </row>
    <row r="285" ht="14.25">
      <c r="E285"/>
      <c r="H285"/>
      <c r="I285"/>
    </row>
    <row r="286" ht="14.25">
      <c r="E286"/>
      <c r="H286"/>
      <c r="I286"/>
    </row>
    <row r="287" ht="14.25">
      <c r="E287"/>
      <c r="H287"/>
      <c r="I287"/>
    </row>
    <row r="288" ht="14.25">
      <c r="E288"/>
      <c r="H288"/>
      <c r="I288"/>
    </row>
    <row r="289" ht="14.25">
      <c r="E289"/>
      <c r="H289"/>
      <c r="I289"/>
    </row>
    <row r="290" ht="14.25">
      <c r="E290"/>
      <c r="H290"/>
      <c r="I290"/>
    </row>
    <row r="291" ht="14.25">
      <c r="E291"/>
      <c r="H291"/>
      <c r="I291"/>
    </row>
    <row r="292" ht="14.25">
      <c r="E292"/>
      <c r="H292"/>
      <c r="I292"/>
    </row>
    <row r="293" ht="14.25">
      <c r="E293"/>
      <c r="H293"/>
      <c r="I293"/>
    </row>
    <row r="294" ht="14.25">
      <c r="E294"/>
      <c r="H294"/>
      <c r="I294"/>
    </row>
    <row r="295" ht="14.25">
      <c r="E295"/>
      <c r="H295"/>
      <c r="I295"/>
    </row>
    <row r="296" ht="14.25">
      <c r="E296"/>
      <c r="H296"/>
      <c r="I296"/>
    </row>
    <row r="297" ht="14.25">
      <c r="E297"/>
      <c r="H297"/>
      <c r="I297"/>
    </row>
    <row r="298" ht="14.25">
      <c r="E298"/>
      <c r="H298"/>
      <c r="I298"/>
    </row>
    <row r="299" ht="14.25">
      <c r="E299"/>
      <c r="H299"/>
      <c r="I299"/>
    </row>
    <row r="300" ht="14.25">
      <c r="E300"/>
      <c r="H300"/>
      <c r="I300"/>
    </row>
    <row r="301" ht="14.25">
      <c r="E301"/>
      <c r="H301"/>
      <c r="I301"/>
    </row>
    <row r="302" ht="14.25">
      <c r="E302"/>
      <c r="H302"/>
      <c r="I302"/>
    </row>
    <row r="303" ht="14.25">
      <c r="E303"/>
      <c r="H303"/>
      <c r="I303"/>
    </row>
    <row r="304" ht="14.25">
      <c r="E304"/>
      <c r="H304"/>
      <c r="I304"/>
    </row>
    <row r="305" ht="14.25">
      <c r="E305"/>
      <c r="H305"/>
      <c r="I305"/>
    </row>
    <row r="306" ht="14.25">
      <c r="E306"/>
      <c r="H306"/>
      <c r="I306"/>
    </row>
    <row r="307" ht="14.25">
      <c r="E307"/>
      <c r="H307"/>
      <c r="I307"/>
    </row>
    <row r="308" ht="14.25">
      <c r="E308"/>
      <c r="H308"/>
      <c r="I308"/>
    </row>
    <row r="309" ht="14.25">
      <c r="E309"/>
      <c r="H309"/>
      <c r="I309"/>
    </row>
    <row r="310" ht="14.25">
      <c r="E310"/>
      <c r="H310"/>
      <c r="I310"/>
    </row>
    <row r="311" ht="14.25">
      <c r="E311"/>
      <c r="H311"/>
      <c r="I311"/>
    </row>
    <row r="312" ht="14.25">
      <c r="E312"/>
      <c r="H312"/>
      <c r="I312"/>
    </row>
    <row r="313" ht="14.25">
      <c r="E313"/>
      <c r="H313"/>
      <c r="I313"/>
    </row>
    <row r="314" ht="14.25">
      <c r="E314"/>
      <c r="H314"/>
      <c r="I314"/>
    </row>
    <row r="315" ht="14.25">
      <c r="E315"/>
      <c r="H315"/>
      <c r="I315"/>
    </row>
    <row r="316" ht="14.25">
      <c r="E316"/>
      <c r="H316"/>
      <c r="I316"/>
    </row>
    <row r="317" ht="14.25">
      <c r="E317"/>
      <c r="H317"/>
      <c r="I317"/>
    </row>
    <row r="318" ht="14.25">
      <c r="E318"/>
      <c r="H318"/>
      <c r="I318"/>
    </row>
    <row r="319" ht="14.25">
      <c r="E319"/>
      <c r="H319"/>
      <c r="I319"/>
    </row>
    <row r="320" ht="14.25">
      <c r="E320"/>
      <c r="H320"/>
      <c r="I320"/>
    </row>
    <row r="321" ht="14.25">
      <c r="E321"/>
      <c r="H321"/>
      <c r="I321"/>
    </row>
    <row r="322" ht="14.25">
      <c r="E322"/>
      <c r="H322"/>
      <c r="I322"/>
    </row>
    <row r="323" ht="14.25">
      <c r="E323"/>
      <c r="H323"/>
      <c r="I323"/>
    </row>
    <row r="324" ht="14.25">
      <c r="E324"/>
      <c r="H324"/>
      <c r="I324"/>
    </row>
    <row r="325" ht="14.25">
      <c r="E325"/>
      <c r="H325"/>
      <c r="I325"/>
    </row>
    <row r="326" ht="14.25">
      <c r="E326"/>
      <c r="H326"/>
      <c r="I326"/>
    </row>
    <row r="327" ht="14.25">
      <c r="E327"/>
      <c r="H327"/>
      <c r="I327"/>
    </row>
    <row r="328" ht="14.25">
      <c r="E328"/>
      <c r="H328"/>
      <c r="I328"/>
    </row>
    <row r="329" ht="14.25">
      <c r="E329"/>
      <c r="H329"/>
      <c r="I329"/>
    </row>
    <row r="330" ht="14.25">
      <c r="E330"/>
      <c r="H330"/>
      <c r="I330"/>
    </row>
    <row r="331" ht="14.25">
      <c r="E331"/>
      <c r="H331"/>
      <c r="I331"/>
    </row>
    <row r="332" ht="14.25">
      <c r="E332"/>
      <c r="H332"/>
      <c r="I332"/>
    </row>
    <row r="333" ht="14.25">
      <c r="E333"/>
      <c r="H333"/>
      <c r="I333"/>
    </row>
    <row r="334" ht="14.25">
      <c r="E334"/>
      <c r="H334"/>
    </row>
    <row r="335" ht="14.25">
      <c r="E335"/>
      <c r="H335"/>
      <c r="I335"/>
    </row>
    <row r="336" ht="14.25">
      <c r="E336"/>
      <c r="H336"/>
    </row>
    <row r="337" ht="14.25">
      <c r="E337"/>
      <c r="H337"/>
    </row>
    <row r="338" ht="14.25">
      <c r="E338"/>
      <c r="H338"/>
    </row>
    <row r="339" ht="14.25">
      <c r="E339"/>
      <c r="H339"/>
    </row>
    <row r="340" ht="14.25">
      <c r="E340"/>
      <c r="H340"/>
    </row>
    <row r="341" ht="14.25">
      <c r="E341"/>
      <c r="H341"/>
    </row>
    <row r="342" ht="14.25">
      <c r="E342"/>
      <c r="H342"/>
    </row>
    <row r="343" ht="14.25">
      <c r="E343"/>
      <c r="H343"/>
    </row>
    <row r="344" ht="14.25">
      <c r="E344"/>
      <c r="H344"/>
    </row>
    <row r="345" ht="14.25">
      <c r="E345"/>
      <c r="H345"/>
    </row>
    <row r="346" ht="14.25">
      <c r="E346"/>
      <c r="H346"/>
    </row>
    <row r="347" ht="14.25">
      <c r="E347"/>
      <c r="H347"/>
    </row>
    <row r="348" ht="14.25">
      <c r="E348"/>
      <c r="H348"/>
    </row>
    <row r="349" ht="14.25">
      <c r="E349"/>
      <c r="H349"/>
    </row>
    <row r="350" ht="14.25">
      <c r="E350"/>
      <c r="H350"/>
    </row>
    <row r="351" ht="14.25">
      <c r="E351"/>
      <c r="H351"/>
    </row>
    <row r="352" ht="14.25">
      <c r="E352"/>
      <c r="H352"/>
    </row>
    <row r="353" ht="14.25">
      <c r="E353"/>
      <c r="H353"/>
    </row>
    <row r="354" ht="14.25">
      <c r="E354"/>
      <c r="H354"/>
    </row>
    <row r="355" ht="14.25">
      <c r="E355"/>
      <c r="H355"/>
    </row>
    <row r="356" ht="14.25">
      <c r="E356"/>
      <c r="H356"/>
    </row>
    <row r="357" ht="14.25">
      <c r="E357"/>
      <c r="H357"/>
    </row>
    <row r="358" ht="14.25">
      <c r="E358"/>
      <c r="H358"/>
    </row>
    <row r="359" ht="14.25">
      <c r="E359"/>
      <c r="H359"/>
    </row>
    <row r="360" ht="14.25">
      <c r="E360"/>
      <c r="H360"/>
    </row>
    <row r="361" ht="14.25">
      <c r="E361"/>
      <c r="H361"/>
    </row>
    <row r="362" ht="14.25">
      <c r="E362"/>
      <c r="H362"/>
    </row>
    <row r="363" ht="14.25">
      <c r="E363"/>
      <c r="H363"/>
    </row>
    <row r="364" ht="14.25">
      <c r="E364"/>
      <c r="H364"/>
    </row>
    <row r="365" ht="14.25">
      <c r="E365"/>
      <c r="H365"/>
    </row>
    <row r="366" ht="14.25">
      <c r="E366"/>
      <c r="H366"/>
    </row>
    <row r="367" ht="14.25">
      <c r="E367"/>
      <c r="H367"/>
    </row>
    <row r="368" ht="14.25">
      <c r="E368"/>
      <c r="H368"/>
    </row>
    <row r="369" ht="14.25">
      <c r="E369"/>
      <c r="H369"/>
    </row>
    <row r="370" ht="14.25">
      <c r="E370"/>
      <c r="H370"/>
    </row>
    <row r="371" ht="14.25">
      <c r="E371"/>
      <c r="H371"/>
    </row>
    <row r="372" ht="14.25">
      <c r="E372"/>
      <c r="H372"/>
    </row>
    <row r="373" ht="14.25">
      <c r="E373"/>
      <c r="H373"/>
    </row>
    <row r="374" ht="14.25">
      <c r="E374"/>
      <c r="H374"/>
    </row>
    <row r="375" ht="14.25">
      <c r="E375"/>
      <c r="H375"/>
    </row>
    <row r="376" ht="14.25">
      <c r="E376"/>
      <c r="H376"/>
    </row>
    <row r="377" ht="14.25">
      <c r="E377"/>
      <c r="H377"/>
    </row>
    <row r="378" ht="14.25">
      <c r="E378"/>
      <c r="H378"/>
    </row>
    <row r="379" ht="14.25">
      <c r="E379"/>
      <c r="H379"/>
    </row>
    <row r="380" ht="14.25">
      <c r="E380"/>
      <c r="H380"/>
    </row>
    <row r="381" ht="14.25">
      <c r="E381"/>
      <c r="H381"/>
    </row>
    <row r="382" ht="14.25">
      <c r="E382"/>
      <c r="H382"/>
    </row>
    <row r="383" ht="14.25">
      <c r="E383"/>
      <c r="H383"/>
    </row>
    <row r="384" ht="14.25">
      <c r="E384"/>
      <c r="H384"/>
    </row>
    <row r="385" ht="14.25">
      <c r="E385"/>
      <c r="H385"/>
    </row>
    <row r="386" ht="14.25">
      <c r="E386"/>
      <c r="H386"/>
    </row>
    <row r="387" ht="14.25">
      <c r="E387"/>
      <c r="H387"/>
    </row>
    <row r="388" ht="14.25">
      <c r="E388"/>
      <c r="H388"/>
    </row>
    <row r="389" ht="14.25">
      <c r="E389"/>
      <c r="H389"/>
    </row>
    <row r="390" ht="14.25">
      <c r="E390"/>
      <c r="H390"/>
    </row>
    <row r="391" ht="14.25">
      <c r="E391"/>
      <c r="H391"/>
    </row>
    <row r="392" ht="14.25">
      <c r="E392"/>
      <c r="H392"/>
    </row>
    <row r="393" ht="14.25">
      <c r="E393"/>
      <c r="H393"/>
    </row>
    <row r="394" ht="14.25">
      <c r="E394"/>
      <c r="H394"/>
    </row>
    <row r="395" ht="14.25">
      <c r="E395"/>
      <c r="H395"/>
    </row>
    <row r="396" ht="14.25">
      <c r="E396"/>
      <c r="H396"/>
    </row>
    <row r="397" ht="14.25">
      <c r="E397"/>
      <c r="H397"/>
    </row>
    <row r="398" ht="14.25">
      <c r="E398"/>
      <c r="H398"/>
    </row>
    <row r="399" ht="14.25">
      <c r="E399"/>
      <c r="H399"/>
    </row>
    <row r="400" ht="14.25">
      <c r="E400"/>
      <c r="H400"/>
    </row>
    <row r="401" ht="14.25">
      <c r="E401"/>
      <c r="H401"/>
    </row>
    <row r="402" ht="14.25">
      <c r="E402"/>
      <c r="H402"/>
    </row>
    <row r="403" ht="14.25">
      <c r="E403"/>
      <c r="H403"/>
    </row>
    <row r="404" ht="14.25">
      <c r="E404"/>
      <c r="H404"/>
    </row>
    <row r="405" ht="14.25">
      <c r="E405"/>
      <c r="H405"/>
    </row>
    <row r="406" ht="14.25">
      <c r="E406"/>
      <c r="H406"/>
    </row>
    <row r="407" ht="14.25">
      <c r="E407"/>
      <c r="H407"/>
    </row>
    <row r="408" ht="14.25">
      <c r="E408"/>
      <c r="H408"/>
    </row>
    <row r="409" ht="14.25">
      <c r="E409"/>
      <c r="H409"/>
    </row>
    <row r="410" ht="14.25">
      <c r="E410"/>
      <c r="H410"/>
    </row>
    <row r="411" ht="14.25">
      <c r="E411"/>
      <c r="H411"/>
    </row>
    <row r="412" ht="14.25">
      <c r="E412"/>
      <c r="H412"/>
    </row>
    <row r="413" ht="14.25">
      <c r="E413"/>
      <c r="H413"/>
    </row>
    <row r="414" ht="14.25">
      <c r="E414"/>
      <c r="H414"/>
    </row>
    <row r="415" ht="14.25">
      <c r="E415"/>
      <c r="H415"/>
    </row>
    <row r="416" ht="14.25">
      <c r="E416"/>
      <c r="H416"/>
    </row>
    <row r="417" ht="14.25">
      <c r="E417"/>
      <c r="H417"/>
    </row>
    <row r="418" ht="14.25">
      <c r="E418"/>
      <c r="H418"/>
    </row>
    <row r="419" ht="14.25">
      <c r="E419"/>
      <c r="H419"/>
    </row>
    <row r="420" ht="14.25">
      <c r="E420"/>
      <c r="H420"/>
    </row>
    <row r="421" ht="14.25">
      <c r="E421"/>
      <c r="H421"/>
    </row>
    <row r="422" ht="14.25">
      <c r="E422"/>
      <c r="H422"/>
    </row>
    <row r="423" ht="14.25">
      <c r="E423"/>
      <c r="H423"/>
    </row>
    <row r="424" ht="14.25">
      <c r="E424"/>
      <c r="H424"/>
    </row>
    <row r="425" ht="14.25">
      <c r="E425"/>
      <c r="H425"/>
    </row>
    <row r="426" ht="14.25">
      <c r="E426"/>
      <c r="H426"/>
    </row>
    <row r="427" ht="14.25">
      <c r="E427"/>
      <c r="H427"/>
    </row>
    <row r="428" ht="14.25">
      <c r="E428"/>
      <c r="H428"/>
    </row>
    <row r="429" ht="14.25">
      <c r="E429"/>
      <c r="H429"/>
    </row>
    <row r="430" ht="14.25">
      <c r="E430"/>
      <c r="H430"/>
    </row>
    <row r="431" ht="14.25">
      <c r="H431"/>
    </row>
    <row r="432" ht="14.25">
      <c r="H432"/>
    </row>
    <row r="433" ht="14.25">
      <c r="H433"/>
    </row>
    <row r="434" ht="14.25">
      <c r="H434"/>
    </row>
    <row r="435" ht="14.25">
      <c r="H435"/>
    </row>
    <row r="436" ht="14.25">
      <c r="H436"/>
    </row>
    <row r="437" ht="14.25">
      <c r="H437"/>
    </row>
    <row r="438" ht="14.25">
      <c r="H438"/>
    </row>
    <row r="439" ht="14.25">
      <c r="H439"/>
    </row>
    <row r="440" ht="14.25">
      <c r="H440"/>
    </row>
    <row r="441" ht="14.25">
      <c r="H441"/>
    </row>
    <row r="442" ht="14.25">
      <c r="H442"/>
    </row>
    <row r="443" ht="14.25">
      <c r="H443"/>
    </row>
    <row r="444" ht="14.25">
      <c r="H444"/>
    </row>
    <row r="445" ht="14.25">
      <c r="H445"/>
    </row>
    <row r="446" ht="14.25">
      <c r="H446"/>
    </row>
    <row r="447" ht="14.25">
      <c r="H447"/>
    </row>
    <row r="448" ht="14.25">
      <c r="H448"/>
    </row>
    <row r="449" ht="14.25">
      <c r="H449"/>
    </row>
    <row r="450" ht="14.25">
      <c r="H450"/>
    </row>
    <row r="451" ht="14.25">
      <c r="H451"/>
    </row>
    <row r="452" ht="14.25">
      <c r="H452"/>
    </row>
    <row r="453" ht="14.25">
      <c r="H453"/>
    </row>
    <row r="454" ht="14.25">
      <c r="H454"/>
    </row>
    <row r="455" ht="14.25">
      <c r="H455"/>
    </row>
    <row r="456" ht="14.25">
      <c r="H456"/>
    </row>
    <row r="457" ht="14.25">
      <c r="H457"/>
    </row>
    <row r="458" ht="14.25">
      <c r="H458"/>
    </row>
    <row r="459" ht="14.25">
      <c r="H459"/>
    </row>
    <row r="460" ht="14.25">
      <c r="H460"/>
    </row>
    <row r="461" ht="14.25">
      <c r="H461"/>
    </row>
    <row r="462" ht="14.25">
      <c r="H462"/>
    </row>
    <row r="463" ht="14.25">
      <c r="H463"/>
    </row>
    <row r="464" ht="14.25">
      <c r="H464"/>
    </row>
    <row r="465" ht="14.25">
      <c r="H465"/>
    </row>
    <row r="466" ht="14.25">
      <c r="H466"/>
    </row>
    <row r="467" ht="14.25">
      <c r="H467"/>
    </row>
    <row r="468" ht="14.25">
      <c r="H468"/>
    </row>
    <row r="469" ht="14.25">
      <c r="H469"/>
    </row>
    <row r="470" ht="14.25">
      <c r="H470"/>
    </row>
    <row r="471" ht="14.25">
      <c r="H471"/>
    </row>
    <row r="472" ht="14.25">
      <c r="H472"/>
    </row>
    <row r="473" ht="14.25">
      <c r="H473"/>
    </row>
    <row r="474" ht="14.25">
      <c r="H474"/>
    </row>
    <row r="475" ht="14.25">
      <c r="H475"/>
    </row>
    <row r="476" ht="14.25">
      <c r="H476"/>
    </row>
    <row r="477" ht="14.25">
      <c r="H477"/>
    </row>
    <row r="478" ht="14.25">
      <c r="H478"/>
    </row>
    <row r="479" ht="14.25">
      <c r="H479"/>
    </row>
    <row r="480" ht="14.25">
      <c r="H480"/>
    </row>
    <row r="481" ht="14.25">
      <c r="H481"/>
    </row>
    <row r="482" ht="14.25">
      <c r="H482"/>
    </row>
    <row r="483" ht="14.25">
      <c r="H483"/>
    </row>
    <row r="484" ht="14.25">
      <c r="H484"/>
    </row>
    <row r="485" ht="14.25">
      <c r="H485"/>
    </row>
    <row r="486" ht="14.25">
      <c r="H486"/>
    </row>
    <row r="487" ht="14.25">
      <c r="H487"/>
    </row>
    <row r="488" ht="14.25">
      <c r="H488"/>
    </row>
    <row r="489" ht="14.25">
      <c r="H489"/>
    </row>
    <row r="490" ht="14.25">
      <c r="H490"/>
    </row>
    <row r="491" ht="14.25">
      <c r="H491"/>
    </row>
    <row r="492" ht="14.25">
      <c r="H492"/>
    </row>
    <row r="493" ht="14.25">
      <c r="H493"/>
    </row>
    <row r="494" ht="14.25">
      <c r="H494"/>
    </row>
    <row r="495" ht="14.25">
      <c r="H495"/>
    </row>
    <row r="496" ht="14.25">
      <c r="H496"/>
    </row>
    <row r="497" ht="14.25">
      <c r="H497"/>
    </row>
    <row r="498" ht="14.25">
      <c r="H498"/>
    </row>
    <row r="499" ht="14.25">
      <c r="H499"/>
    </row>
    <row r="500" ht="14.25">
      <c r="H500"/>
    </row>
    <row r="501" ht="14.25">
      <c r="H501"/>
    </row>
    <row r="502" ht="14.25">
      <c r="H502"/>
    </row>
    <row r="503" ht="14.25">
      <c r="H503"/>
    </row>
    <row r="504" ht="14.25">
      <c r="H504"/>
    </row>
    <row r="505" ht="14.25">
      <c r="H505"/>
    </row>
    <row r="506" ht="14.25">
      <c r="H506"/>
    </row>
    <row r="507" ht="14.25">
      <c r="H507"/>
    </row>
    <row r="508" ht="14.25">
      <c r="H508"/>
    </row>
    <row r="509" ht="14.25">
      <c r="H509"/>
    </row>
    <row r="510" ht="14.25">
      <c r="H510"/>
    </row>
    <row r="511" ht="14.25">
      <c r="H511"/>
    </row>
    <row r="512" ht="14.25">
      <c r="H512"/>
    </row>
    <row r="513" ht="14.25">
      <c r="H513"/>
    </row>
    <row r="514" ht="14.25">
      <c r="H514"/>
    </row>
    <row r="515" ht="14.25">
      <c r="H515"/>
    </row>
    <row r="516" ht="14.25">
      <c r="H516"/>
    </row>
    <row r="517" ht="14.25">
      <c r="H517"/>
    </row>
    <row r="518" ht="14.25">
      <c r="H518"/>
    </row>
    <row r="519" ht="14.25">
      <c r="H519"/>
    </row>
    <row r="520" ht="14.25">
      <c r="H520"/>
    </row>
    <row r="521" ht="14.25">
      <c r="H521"/>
    </row>
    <row r="522" ht="14.25">
      <c r="H522"/>
    </row>
    <row r="523" ht="14.25">
      <c r="H523"/>
    </row>
    <row r="524" ht="14.25">
      <c r="H524"/>
    </row>
    <row r="525" ht="14.25">
      <c r="H525"/>
    </row>
    <row r="526" ht="14.25">
      <c r="H526"/>
    </row>
    <row r="527" ht="14.25">
      <c r="H527"/>
    </row>
    <row r="528" ht="14.25">
      <c r="H528"/>
    </row>
    <row r="529" ht="14.25">
      <c r="H529"/>
    </row>
    <row r="530" ht="14.25">
      <c r="H530"/>
    </row>
    <row r="531" ht="14.25">
      <c r="H531"/>
    </row>
    <row r="532" ht="14.25">
      <c r="H532"/>
    </row>
    <row r="533" ht="14.25">
      <c r="H533"/>
    </row>
    <row r="534" ht="14.25">
      <c r="H534"/>
    </row>
    <row r="535" ht="14.25">
      <c r="H535"/>
    </row>
    <row r="536" ht="14.25">
      <c r="H536"/>
    </row>
    <row r="537" ht="14.25">
      <c r="H537"/>
    </row>
    <row r="538" ht="14.25">
      <c r="H538"/>
    </row>
    <row r="539" ht="14.25">
      <c r="H539"/>
    </row>
    <row r="540" ht="14.25">
      <c r="H540"/>
    </row>
    <row r="541" ht="14.25">
      <c r="H541"/>
    </row>
    <row r="542" ht="14.25">
      <c r="H542"/>
    </row>
    <row r="543" ht="14.25">
      <c r="H543"/>
    </row>
    <row r="544" ht="14.25">
      <c r="H544"/>
    </row>
    <row r="545" ht="14.25">
      <c r="H545"/>
    </row>
    <row r="546" ht="14.25">
      <c r="H546"/>
    </row>
    <row r="547" ht="14.25">
      <c r="H547"/>
    </row>
    <row r="548" ht="14.25">
      <c r="H548"/>
    </row>
    <row r="549" ht="14.25">
      <c r="H549"/>
    </row>
    <row r="550" ht="14.25">
      <c r="H550"/>
    </row>
    <row r="551" ht="14.25">
      <c r="H551"/>
    </row>
    <row r="552" ht="14.25">
      <c r="H552"/>
    </row>
    <row r="553" ht="14.25">
      <c r="H553"/>
    </row>
    <row r="554" ht="14.25">
      <c r="H554"/>
    </row>
    <row r="555" ht="14.25">
      <c r="H555"/>
    </row>
    <row r="556" ht="14.25">
      <c r="H556"/>
    </row>
    <row r="557" ht="14.25">
      <c r="H557"/>
    </row>
    <row r="558" ht="14.25">
      <c r="H558"/>
    </row>
    <row r="559" ht="14.25">
      <c r="H559"/>
    </row>
    <row r="560" ht="14.25">
      <c r="H560"/>
    </row>
    <row r="561" ht="14.25">
      <c r="H561"/>
    </row>
    <row r="562" ht="14.25">
      <c r="H562"/>
    </row>
    <row r="563" ht="14.25">
      <c r="H563"/>
    </row>
    <row r="564" ht="14.25">
      <c r="H564"/>
    </row>
    <row r="565" ht="14.25">
      <c r="H565"/>
    </row>
    <row r="566" ht="14.25">
      <c r="H566"/>
    </row>
    <row r="567" ht="14.25">
      <c r="H567"/>
    </row>
    <row r="568" ht="14.25">
      <c r="H568"/>
    </row>
    <row r="569" ht="14.25">
      <c r="H569"/>
    </row>
    <row r="570" ht="14.25">
      <c r="H570"/>
    </row>
    <row r="571" ht="14.25">
      <c r="H571"/>
    </row>
    <row r="572" ht="14.25">
      <c r="H572"/>
    </row>
    <row r="573" ht="14.25">
      <c r="H573"/>
    </row>
    <row r="574" ht="14.25">
      <c r="H574"/>
    </row>
    <row r="575" ht="14.25">
      <c r="H575"/>
    </row>
    <row r="576" ht="14.25">
      <c r="H576"/>
    </row>
    <row r="577" ht="14.25">
      <c r="H577"/>
    </row>
    <row r="578" ht="14.25">
      <c r="H578"/>
    </row>
    <row r="579" ht="14.25">
      <c r="H579"/>
    </row>
    <row r="580" ht="14.25">
      <c r="H580"/>
    </row>
    <row r="581" ht="14.25">
      <c r="H581"/>
    </row>
    <row r="582" ht="14.25">
      <c r="H582"/>
    </row>
    <row r="583" ht="14.25">
      <c r="H583"/>
    </row>
    <row r="584" ht="14.25">
      <c r="H584"/>
    </row>
    <row r="585" ht="14.25">
      <c r="H585"/>
    </row>
    <row r="586" ht="14.25">
      <c r="H586"/>
    </row>
    <row r="587" ht="14.25">
      <c r="H587"/>
    </row>
    <row r="588" ht="14.25">
      <c r="H588"/>
    </row>
    <row r="589" ht="14.25">
      <c r="H589"/>
    </row>
    <row r="590" ht="14.25">
      <c r="H590"/>
    </row>
  </sheetData>
  <mergeCells count="15">
    <mergeCell ref="H2:H5"/>
    <mergeCell ref="I2:I5"/>
    <mergeCell ref="J2:M5"/>
    <mergeCell ref="O2:O5"/>
    <mergeCell ref="P2:P5"/>
    <mergeCell ref="Q2:T5"/>
    <mergeCell ref="V2:V5"/>
    <mergeCell ref="W2:W5"/>
    <mergeCell ref="X2:AA5"/>
    <mergeCell ref="O39:O42"/>
    <mergeCell ref="P39:P42"/>
    <mergeCell ref="Q39:T42"/>
    <mergeCell ref="V39:V42"/>
    <mergeCell ref="W39:W42"/>
    <mergeCell ref="X39:AA4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2.8515625"/>
    <col bestFit="1" min="2" max="2" width="16.00390625"/>
    <col bestFit="1" min="4" max="4" width="17.8515625"/>
    <col bestFit="1" min="5" max="5" width="14.7109375"/>
    <col min="10" max="10" style="20" width="9.140625"/>
    <col bestFit="1" min="11" max="11" width="17.8515625"/>
    <col bestFit="1" min="12" max="12" width="18.140625"/>
    <col bestFit="1" min="13" max="13" width="17.8515625"/>
    <col bestFit="1" min="14" max="14" width="12.8515625"/>
    <col bestFit="1" min="15" max="15" width="17.8515625"/>
  </cols>
  <sheetData>
    <row r="1">
      <c r="A1" t="s">
        <v>19</v>
      </c>
      <c r="K1" s="21" t="s">
        <v>20</v>
      </c>
    </row>
    <row r="2">
      <c r="A2" t="s">
        <v>12</v>
      </c>
      <c r="B2" t="s">
        <v>13</v>
      </c>
      <c r="K2" t="s">
        <v>21</v>
      </c>
    </row>
    <row r="3">
      <c r="A3" s="17" t="s">
        <v>22</v>
      </c>
      <c r="B3">
        <v>120</v>
      </c>
      <c r="K3">
        <v>3029.5899968503954</v>
      </c>
    </row>
    <row r="4">
      <c r="A4" s="17" t="s">
        <v>23</v>
      </c>
      <c r="B4">
        <v>76</v>
      </c>
    </row>
    <row r="5">
      <c r="A5" s="17" t="s">
        <v>24</v>
      </c>
      <c r="B5">
        <v>58</v>
      </c>
      <c r="K5" t="s">
        <v>25</v>
      </c>
    </row>
    <row r="6">
      <c r="A6" s="17" t="s">
        <v>17</v>
      </c>
      <c r="B6">
        <v>254</v>
      </c>
    </row>
    <row r="7">
      <c r="K7" t="s">
        <v>26</v>
      </c>
    </row>
    <row r="8" ht="14.25">
      <c r="K8" t="s">
        <v>12</v>
      </c>
      <c r="L8" t="s">
        <v>21</v>
      </c>
      <c r="N8" t="s">
        <v>12</v>
      </c>
      <c r="O8" t="s">
        <v>21</v>
      </c>
    </row>
    <row r="9">
      <c r="A9" s="21" t="s">
        <v>27</v>
      </c>
      <c r="K9" s="22">
        <v>44872</v>
      </c>
      <c r="L9">
        <v>1733.3341000000003</v>
      </c>
      <c r="N9" s="22">
        <v>44896</v>
      </c>
      <c r="O9">
        <v>2680.02288</v>
      </c>
    </row>
    <row r="10" ht="14.25">
      <c r="K10" s="22">
        <v>44873</v>
      </c>
      <c r="L10">
        <v>3100.0182750000004</v>
      </c>
      <c r="N10" s="22">
        <v>44897</v>
      </c>
      <c r="O10">
        <v>2800.0107000000003</v>
      </c>
    </row>
    <row r="11">
      <c r="A11" s="21" t="s">
        <v>28</v>
      </c>
      <c r="K11" s="22">
        <v>44874</v>
      </c>
      <c r="L11">
        <v>2840.0077200000001</v>
      </c>
      <c r="N11" s="22">
        <v>44898</v>
      </c>
      <c r="O11">
        <v>2800.0107000000003</v>
      </c>
    </row>
    <row r="12">
      <c r="A12" t="s">
        <v>12</v>
      </c>
      <c r="B12" t="s">
        <v>29</v>
      </c>
      <c r="D12" t="s">
        <v>12</v>
      </c>
      <c r="E12" t="s">
        <v>18</v>
      </c>
      <c r="K12" s="22">
        <v>44875</v>
      </c>
      <c r="L12">
        <v>3300.0106500000002</v>
      </c>
      <c r="N12" s="22">
        <v>44899</v>
      </c>
      <c r="O12">
        <v>4500.0503499999995</v>
      </c>
    </row>
    <row r="13">
      <c r="A13" s="17" t="s">
        <v>30</v>
      </c>
      <c r="B13">
        <v>34983.140000000007</v>
      </c>
      <c r="D13" s="17" t="s">
        <v>31</v>
      </c>
      <c r="E13">
        <v>376999.80689999991</v>
      </c>
      <c r="K13" s="22">
        <v>44876</v>
      </c>
      <c r="L13">
        <v>2880.0031200000003</v>
      </c>
      <c r="N13" s="22">
        <v>44900</v>
      </c>
      <c r="O13">
        <v>2840.0077200000001</v>
      </c>
    </row>
    <row r="14">
      <c r="A14" s="17" t="s">
        <v>32</v>
      </c>
      <c r="B14">
        <v>32034.339999999986</v>
      </c>
      <c r="D14" s="17" t="s">
        <v>32</v>
      </c>
      <c r="E14">
        <v>125674.29029999988</v>
      </c>
      <c r="K14" s="22">
        <v>44877</v>
      </c>
      <c r="L14">
        <v>2800.0107000000003</v>
      </c>
      <c r="N14" s="22">
        <v>44901</v>
      </c>
      <c r="O14">
        <v>2800.0245</v>
      </c>
    </row>
    <row r="15">
      <c r="A15" s="17" t="s">
        <v>31</v>
      </c>
      <c r="B15">
        <v>29022.309999999994</v>
      </c>
      <c r="D15" s="17" t="s">
        <v>33</v>
      </c>
      <c r="E15">
        <v>114641.69500000002</v>
      </c>
      <c r="K15" s="22">
        <v>44878</v>
      </c>
      <c r="L15">
        <v>5534.8902399999988</v>
      </c>
      <c r="N15" s="22">
        <v>44902</v>
      </c>
      <c r="O15">
        <v>2800.0107000000003</v>
      </c>
    </row>
    <row r="16">
      <c r="A16" s="17" t="s">
        <v>33</v>
      </c>
      <c r="B16">
        <v>11135.920000000002</v>
      </c>
      <c r="D16" s="17" t="s">
        <v>30</v>
      </c>
      <c r="E16">
        <v>103200.26299999992</v>
      </c>
      <c r="K16" s="22">
        <v>44879</v>
      </c>
      <c r="L16">
        <v>3567.8688999999999</v>
      </c>
      <c r="N16" s="22">
        <v>44903</v>
      </c>
      <c r="O16">
        <v>2840.0198999999998</v>
      </c>
    </row>
    <row r="17">
      <c r="A17" s="17" t="s">
        <v>34</v>
      </c>
      <c r="B17">
        <v>9819.5999999999913</v>
      </c>
      <c r="D17" s="17" t="s">
        <v>34</v>
      </c>
      <c r="E17">
        <v>48999.803999999967</v>
      </c>
      <c r="K17" s="22">
        <v>44880</v>
      </c>
      <c r="L17">
        <v>2720.0061000000005</v>
      </c>
      <c r="N17" s="22">
        <v>44904</v>
      </c>
      <c r="O17">
        <v>2920.0123199999998</v>
      </c>
    </row>
    <row r="18">
      <c r="A18" s="17" t="s">
        <v>17</v>
      </c>
      <c r="B18">
        <v>116995.30999999998</v>
      </c>
      <c r="D18" s="17" t="s">
        <v>17</v>
      </c>
      <c r="E18">
        <v>769515.85919999972</v>
      </c>
      <c r="K18" s="22">
        <v>44881</v>
      </c>
      <c r="L18">
        <v>2720.0061000000005</v>
      </c>
      <c r="N18" s="22">
        <v>44905</v>
      </c>
      <c r="O18">
        <v>2920.0123199999998</v>
      </c>
    </row>
    <row r="19">
      <c r="K19" s="22">
        <v>44882</v>
      </c>
      <c r="L19">
        <v>2800.0107000000003</v>
      </c>
      <c r="N19" s="22">
        <v>44906</v>
      </c>
      <c r="O19">
        <v>3000.0176200000005</v>
      </c>
    </row>
    <row r="20" ht="14.25">
      <c r="K20" s="22">
        <v>44883</v>
      </c>
      <c r="L20">
        <v>2880.0222800000001</v>
      </c>
      <c r="N20" s="22">
        <v>44907</v>
      </c>
      <c r="O20">
        <v>2920.0123199999998</v>
      </c>
    </row>
    <row r="21">
      <c r="A21" s="21" t="s">
        <v>35</v>
      </c>
      <c r="K21" s="22">
        <v>44884</v>
      </c>
      <c r="L21">
        <v>2800.0038800000002</v>
      </c>
      <c r="N21" s="22">
        <v>44908</v>
      </c>
      <c r="O21">
        <v>2920.0123199999998</v>
      </c>
    </row>
    <row r="22" ht="14.25">
      <c r="K22" s="22">
        <v>44885</v>
      </c>
      <c r="L22">
        <v>4100.0233000000007</v>
      </c>
      <c r="N22" s="22">
        <v>44909</v>
      </c>
      <c r="O22">
        <v>2920.0021200000001</v>
      </c>
    </row>
    <row r="23" ht="14.25">
      <c r="A23" s="21" t="s">
        <v>36</v>
      </c>
      <c r="K23" s="22">
        <v>44886</v>
      </c>
      <c r="L23">
        <v>2800.01676</v>
      </c>
      <c r="N23" s="22">
        <v>44910</v>
      </c>
      <c r="O23">
        <v>2880.0189</v>
      </c>
    </row>
    <row r="24" ht="14.25">
      <c r="A24" t="s">
        <v>12</v>
      </c>
      <c r="B24" t="s">
        <v>37</v>
      </c>
      <c r="D24" t="s">
        <v>12</v>
      </c>
      <c r="E24" t="s">
        <v>37</v>
      </c>
      <c r="K24" s="22">
        <v>44887</v>
      </c>
      <c r="L24">
        <v>2719.99836</v>
      </c>
      <c r="N24" s="22">
        <v>44911</v>
      </c>
      <c r="O24">
        <v>3000.0074199999999</v>
      </c>
    </row>
    <row r="25" ht="14.25">
      <c r="A25" s="17" t="s">
        <v>38</v>
      </c>
      <c r="B25">
        <v>16074.434999999999</v>
      </c>
      <c r="D25" s="17" t="s">
        <v>39</v>
      </c>
      <c r="E25">
        <v>16074.434999999999</v>
      </c>
      <c r="K25" s="22">
        <v>44888</v>
      </c>
      <c r="L25">
        <v>2760.0075600000005</v>
      </c>
      <c r="N25" s="22">
        <v>44912</v>
      </c>
      <c r="O25">
        <v>3080.0190000000002</v>
      </c>
    </row>
    <row r="26" ht="14.25">
      <c r="A26" s="17" t="s">
        <v>40</v>
      </c>
      <c r="B26">
        <v>9800.0456999999988</v>
      </c>
      <c r="D26" s="17" t="s">
        <v>41</v>
      </c>
      <c r="E26">
        <v>9800.0456999999988</v>
      </c>
      <c r="K26" s="22">
        <v>44889</v>
      </c>
      <c r="L26">
        <v>2720.0051800000001</v>
      </c>
      <c r="N26" s="22">
        <v>44913</v>
      </c>
      <c r="O26">
        <v>3120.0022200000003</v>
      </c>
    </row>
    <row r="27" ht="14.25">
      <c r="A27" s="17" t="s">
        <v>42</v>
      </c>
      <c r="B27">
        <v>7600.0593000000008</v>
      </c>
      <c r="D27" s="17" t="s">
        <v>43</v>
      </c>
      <c r="E27">
        <v>7600.0593000000008</v>
      </c>
      <c r="K27" s="22">
        <v>44890</v>
      </c>
      <c r="L27">
        <v>2679.9959799999997</v>
      </c>
      <c r="N27" s="22">
        <v>44914</v>
      </c>
      <c r="O27">
        <v>3159.99226</v>
      </c>
    </row>
    <row r="28" ht="14.25">
      <c r="A28" s="17" t="s">
        <v>44</v>
      </c>
      <c r="B28">
        <v>7199.9673000000003</v>
      </c>
      <c r="D28" s="17" t="s">
        <v>45</v>
      </c>
      <c r="E28">
        <v>7199.9673000000003</v>
      </c>
      <c r="K28" s="22">
        <v>44891</v>
      </c>
      <c r="L28">
        <v>2640.0127600000001</v>
      </c>
      <c r="N28" s="22">
        <v>44915</v>
      </c>
      <c r="O28">
        <v>3200.00146</v>
      </c>
    </row>
    <row r="29" ht="14.25">
      <c r="A29" s="17" t="s">
        <v>46</v>
      </c>
      <c r="B29">
        <v>7199.9673000000003</v>
      </c>
      <c r="D29" s="17" t="s">
        <v>47</v>
      </c>
      <c r="E29">
        <v>7199.9673000000003</v>
      </c>
      <c r="K29" s="22">
        <v>44892</v>
      </c>
      <c r="L29">
        <v>2679.9959799999997</v>
      </c>
      <c r="N29" s="22">
        <v>44916</v>
      </c>
      <c r="O29">
        <v>3279.99388</v>
      </c>
    </row>
    <row r="30" ht="14.25">
      <c r="A30" s="17" t="s">
        <v>17</v>
      </c>
      <c r="B30">
        <v>16074.434999999999</v>
      </c>
      <c r="D30" s="17" t="s">
        <v>17</v>
      </c>
      <c r="E30">
        <v>16074.434999999999</v>
      </c>
      <c r="K30" s="22">
        <v>44893</v>
      </c>
      <c r="L30">
        <v>2680.0090800000003</v>
      </c>
      <c r="N30" s="22">
        <v>44917</v>
      </c>
      <c r="O30">
        <v>3319.9928800000007</v>
      </c>
    </row>
    <row r="31" ht="14.25">
      <c r="K31" s="22">
        <v>44894</v>
      </c>
      <c r="L31">
        <v>2680.0090800000003</v>
      </c>
      <c r="N31" s="22">
        <v>44918</v>
      </c>
      <c r="O31">
        <v>3200.0043600000008</v>
      </c>
    </row>
    <row r="32" ht="14.25">
      <c r="A32" s="21" t="s">
        <v>48</v>
      </c>
      <c r="K32" s="22">
        <v>44895</v>
      </c>
      <c r="L32">
        <v>2720.0182800000002</v>
      </c>
      <c r="N32" s="22">
        <v>44919</v>
      </c>
      <c r="O32">
        <v>3279.9967800000009</v>
      </c>
    </row>
    <row r="33" ht="14.25">
      <c r="K33" s="17" t="s">
        <v>17</v>
      </c>
      <c r="L33">
        <v>2939.0677734513279</v>
      </c>
      <c r="N33" s="22">
        <v>44920</v>
      </c>
      <c r="O33">
        <v>3319.9957800000002</v>
      </c>
    </row>
    <row r="34" ht="14.25">
      <c r="A34" s="21" t="s">
        <v>49</v>
      </c>
      <c r="N34" s="22">
        <v>44921</v>
      </c>
      <c r="O34">
        <v>3400.0039800000009</v>
      </c>
    </row>
    <row r="35" ht="14.25">
      <c r="A35" t="s">
        <v>12</v>
      </c>
      <c r="B35" t="s">
        <v>18</v>
      </c>
      <c r="N35" s="22">
        <v>44922</v>
      </c>
      <c r="O35">
        <v>3400.0039800000009</v>
      </c>
    </row>
    <row r="36" ht="14.25">
      <c r="A36" s="22">
        <v>44872</v>
      </c>
      <c r="B36">
        <v>5200.002300000001</v>
      </c>
      <c r="N36" s="22">
        <v>44923</v>
      </c>
      <c r="O36">
        <v>3519.9953999999998</v>
      </c>
    </row>
    <row r="37" ht="14.25">
      <c r="A37" s="22">
        <v>44873</v>
      </c>
      <c r="B37">
        <v>12400.073100000001</v>
      </c>
      <c r="N37" s="22">
        <v>44924</v>
      </c>
      <c r="O37">
        <v>4200.0195000000003</v>
      </c>
    </row>
    <row r="38" ht="14.25">
      <c r="A38" s="22">
        <v>44874</v>
      </c>
      <c r="B38">
        <v>14200.0386</v>
      </c>
      <c r="N38" s="17" t="s">
        <v>17</v>
      </c>
      <c r="O38">
        <v>3102.1361758865241</v>
      </c>
    </row>
    <row r="39" ht="14.25">
      <c r="A39" s="22">
        <v>44875</v>
      </c>
      <c r="B39">
        <v>13200.042600000001</v>
      </c>
    </row>
    <row r="40" ht="14.25">
      <c r="A40" s="22">
        <v>44876</v>
      </c>
      <c r="B40">
        <v>14400.015599999999</v>
      </c>
      <c r="K40" t="s">
        <v>50</v>
      </c>
    </row>
    <row r="41" ht="14.25">
      <c r="A41" s="22">
        <v>44877</v>
      </c>
      <c r="B41">
        <v>14000.053500000002</v>
      </c>
    </row>
    <row r="42" ht="14.25">
      <c r="A42" s="22">
        <v>44878</v>
      </c>
      <c r="B42">
        <v>27674.4512</v>
      </c>
      <c r="K42" t="s">
        <v>51</v>
      </c>
    </row>
    <row r="43" ht="14.25">
      <c r="A43" s="22">
        <v>44879</v>
      </c>
      <c r="B43">
        <v>17839.344499999999</v>
      </c>
      <c r="K43" s="23" t="s">
        <v>52</v>
      </c>
      <c r="L43" s="23">
        <f>_xlfn.STDEV.P(RAW_Data!J:J)</f>
        <v>2415.3496672440674</v>
      </c>
    </row>
    <row r="44" ht="14.25">
      <c r="A44" s="22">
        <v>44880</v>
      </c>
      <c r="B44">
        <v>13600.030500000001</v>
      </c>
      <c r="K44" s="23" t="s">
        <v>53</v>
      </c>
      <c r="L44" s="23">
        <f>_xlfn.STDEV.P(RAW_Data!E:E)</f>
        <v>214.4652727955731</v>
      </c>
    </row>
    <row r="45" ht="14.25">
      <c r="A45" s="22">
        <v>44881</v>
      </c>
      <c r="B45">
        <v>13600.030500000001</v>
      </c>
    </row>
    <row r="46" ht="14.25">
      <c r="A46" s="22">
        <v>44882</v>
      </c>
      <c r="B46">
        <v>14000.053500000002</v>
      </c>
      <c r="K46" t="s">
        <v>54</v>
      </c>
    </row>
    <row r="47" ht="14.25">
      <c r="A47" s="22">
        <v>44883</v>
      </c>
      <c r="B47">
        <v>14400.111399999998</v>
      </c>
    </row>
    <row r="48" ht="14.25">
      <c r="A48" s="22">
        <v>44884</v>
      </c>
      <c r="B48">
        <v>14000.019400000001</v>
      </c>
      <c r="K48" t="s">
        <v>55</v>
      </c>
    </row>
    <row r="49" ht="14.25">
      <c r="A49" s="22">
        <v>44885</v>
      </c>
      <c r="B49">
        <v>8200.0465999999997</v>
      </c>
      <c r="K49" s="23" t="s">
        <v>56</v>
      </c>
      <c r="L49" s="23">
        <f>_xlfn.VAR.P(RAW_Data!J:J)</f>
        <v>5833914.015056028</v>
      </c>
    </row>
    <row r="50" ht="14.25">
      <c r="A50" s="22">
        <v>44886</v>
      </c>
      <c r="B50">
        <v>14000.0838</v>
      </c>
      <c r="K50" s="23" t="s">
        <v>57</v>
      </c>
      <c r="L50" s="23">
        <f>_xlfn.VAR.P(RAW_Data!E:E)</f>
        <v>45995.353235279581</v>
      </c>
    </row>
    <row r="51" ht="14.25">
      <c r="A51" s="22">
        <v>44887</v>
      </c>
      <c r="B51">
        <v>13599.9918</v>
      </c>
    </row>
    <row r="52" ht="14.25">
      <c r="A52" s="22">
        <v>44888</v>
      </c>
      <c r="B52">
        <v>13800.037800000002</v>
      </c>
      <c r="K52" t="s">
        <v>58</v>
      </c>
    </row>
    <row r="53" ht="14.25">
      <c r="A53" s="22">
        <v>44889</v>
      </c>
      <c r="B53">
        <v>13600.025900000001</v>
      </c>
    </row>
    <row r="54" ht="14.25">
      <c r="A54" s="22">
        <v>44890</v>
      </c>
      <c r="B54">
        <v>13399.979900000002</v>
      </c>
      <c r="K54" t="s">
        <v>59</v>
      </c>
    </row>
    <row r="55" ht="14.25">
      <c r="A55" s="22">
        <v>44891</v>
      </c>
      <c r="B55">
        <v>13200.0638</v>
      </c>
      <c r="K55" t="s">
        <v>60</v>
      </c>
    </row>
    <row r="56" ht="14.25">
      <c r="A56" s="22">
        <v>44892</v>
      </c>
      <c r="B56">
        <v>13399.979900000002</v>
      </c>
    </row>
    <row r="57" ht="14.25">
      <c r="A57" s="22">
        <v>44893</v>
      </c>
      <c r="B57">
        <v>13400.045399999999</v>
      </c>
      <c r="K57" t="s">
        <v>61</v>
      </c>
    </row>
    <row r="58" ht="14.25">
      <c r="A58" s="22">
        <v>44894</v>
      </c>
      <c r="B58">
        <v>13400.045399999999</v>
      </c>
      <c r="L58" t="s">
        <v>62</v>
      </c>
    </row>
    <row r="59" ht="14.25">
      <c r="A59" s="22">
        <v>44895</v>
      </c>
      <c r="B59">
        <v>13600.091400000001</v>
      </c>
      <c r="K59" t="s">
        <v>12</v>
      </c>
      <c r="L59" t="s">
        <v>63</v>
      </c>
      <c r="M59" t="s">
        <v>21</v>
      </c>
    </row>
    <row r="60" ht="14.25">
      <c r="A60" s="22">
        <v>44896</v>
      </c>
      <c r="B60">
        <v>13400.114400000002</v>
      </c>
      <c r="K60" s="17" t="s">
        <v>30</v>
      </c>
      <c r="L60">
        <v>699.66280000000006</v>
      </c>
      <c r="M60">
        <v>2064.0052600000004</v>
      </c>
    </row>
    <row r="61" ht="14.25">
      <c r="A61" s="22">
        <v>44897</v>
      </c>
      <c r="B61">
        <v>14000.053500000002</v>
      </c>
      <c r="K61" s="17" t="s">
        <v>31</v>
      </c>
      <c r="L61">
        <v>558.12134615384616</v>
      </c>
      <c r="M61">
        <v>7249.9962865384632</v>
      </c>
    </row>
    <row r="62" ht="14.25">
      <c r="A62" s="22">
        <v>44898</v>
      </c>
      <c r="B62">
        <v>14000.053500000002</v>
      </c>
      <c r="K62" s="17" t="s">
        <v>33</v>
      </c>
      <c r="L62">
        <v>214.15230769230772</v>
      </c>
      <c r="M62">
        <v>2204.6479807692308</v>
      </c>
    </row>
    <row r="63" ht="14.25">
      <c r="A63" s="22">
        <v>44899</v>
      </c>
      <c r="B63">
        <v>9000.1006999999991</v>
      </c>
      <c r="K63" s="17" t="s">
        <v>32</v>
      </c>
      <c r="L63">
        <v>628.12431372549031</v>
      </c>
      <c r="M63">
        <v>2464.2017705882363</v>
      </c>
    </row>
    <row r="64" ht="14.25">
      <c r="A64" s="22">
        <v>44900</v>
      </c>
      <c r="B64">
        <v>14200.0386</v>
      </c>
      <c r="K64" s="17" t="s">
        <v>34</v>
      </c>
      <c r="L64">
        <v>200.40000000000001</v>
      </c>
      <c r="M64">
        <v>999.99600000000009</v>
      </c>
    </row>
    <row r="65" ht="14.25">
      <c r="A65" s="22">
        <v>44901</v>
      </c>
      <c r="B65">
        <v>14000.122500000001</v>
      </c>
      <c r="K65" s="17" t="s">
        <v>17</v>
      </c>
      <c r="L65">
        <v>460.61145669291341</v>
      </c>
      <c r="M65">
        <v>3029.5899968503941</v>
      </c>
    </row>
    <row r="66" ht="14.25">
      <c r="A66" s="22">
        <v>44902</v>
      </c>
      <c r="B66">
        <v>14000.053500000002</v>
      </c>
    </row>
    <row r="67" ht="14.25">
      <c r="A67" s="22">
        <v>44903</v>
      </c>
      <c r="B67">
        <v>14200.0995</v>
      </c>
      <c r="K67" t="s">
        <v>64</v>
      </c>
    </row>
    <row r="68" ht="14.25">
      <c r="A68" s="22">
        <v>44904</v>
      </c>
      <c r="B68">
        <v>14600.061600000001</v>
      </c>
    </row>
    <row r="69" ht="14.25">
      <c r="A69" s="22">
        <v>44905</v>
      </c>
      <c r="B69">
        <v>14600.061600000001</v>
      </c>
    </row>
    <row r="70" ht="14.25">
      <c r="A70" s="22">
        <v>44906</v>
      </c>
      <c r="B70">
        <v>15000.088100000001</v>
      </c>
    </row>
    <row r="71" ht="14.25">
      <c r="A71" s="22">
        <v>44907</v>
      </c>
      <c r="B71">
        <v>14600.061600000001</v>
      </c>
    </row>
    <row r="72" ht="14.25">
      <c r="A72" s="22">
        <v>44908</v>
      </c>
      <c r="B72">
        <v>14600.061600000001</v>
      </c>
    </row>
    <row r="73" ht="14.25">
      <c r="A73" s="22">
        <v>44909</v>
      </c>
      <c r="B73">
        <v>14600.010600000001</v>
      </c>
    </row>
    <row r="74" ht="14.25">
      <c r="A74" s="22">
        <v>44910</v>
      </c>
      <c r="B74">
        <v>14400.094499999999</v>
      </c>
    </row>
    <row r="75" ht="14.25">
      <c r="A75" s="22">
        <v>44911</v>
      </c>
      <c r="B75">
        <v>15000.037099999998</v>
      </c>
    </row>
    <row r="76" ht="14.25">
      <c r="A76" s="22">
        <v>44912</v>
      </c>
      <c r="B76">
        <v>15400.095000000001</v>
      </c>
    </row>
    <row r="77" ht="14.25">
      <c r="A77" s="22">
        <v>44913</v>
      </c>
      <c r="B77">
        <v>15600.0111</v>
      </c>
    </row>
    <row r="78" ht="14.25">
      <c r="A78" s="22">
        <v>44914</v>
      </c>
      <c r="B78">
        <v>15799.961299999999</v>
      </c>
    </row>
    <row r="79" ht="14.25">
      <c r="A79" s="22">
        <v>44915</v>
      </c>
      <c r="B79">
        <v>16000.007300000001</v>
      </c>
    </row>
    <row r="80" ht="14.25">
      <c r="A80" s="22">
        <v>44916</v>
      </c>
      <c r="B80">
        <v>16399.969400000002</v>
      </c>
    </row>
    <row r="81" ht="14.25">
      <c r="A81" s="22">
        <v>44917</v>
      </c>
      <c r="B81">
        <v>16599.964400000001</v>
      </c>
    </row>
    <row r="82" ht="14.25">
      <c r="A82" s="22">
        <v>44918</v>
      </c>
      <c r="B82">
        <v>16000.021800000002</v>
      </c>
    </row>
    <row r="83" ht="14.25">
      <c r="A83" s="22">
        <v>44919</v>
      </c>
      <c r="B83">
        <v>16399.983900000003</v>
      </c>
    </row>
    <row r="84" ht="14.25">
      <c r="A84" s="22">
        <v>44920</v>
      </c>
      <c r="B84">
        <v>16599.978900000002</v>
      </c>
    </row>
    <row r="85" ht="14.25">
      <c r="A85" s="22">
        <v>44921</v>
      </c>
      <c r="B85">
        <v>17000.019900000003</v>
      </c>
    </row>
    <row r="86" ht="14.25">
      <c r="A86" s="22">
        <v>44922</v>
      </c>
      <c r="B86">
        <v>17000.019900000003</v>
      </c>
    </row>
    <row r="87" ht="14.25">
      <c r="A87" s="22">
        <v>44923</v>
      </c>
      <c r="B87">
        <v>17599.976999999999</v>
      </c>
    </row>
    <row r="88" ht="14.25">
      <c r="A88" s="22">
        <v>44924</v>
      </c>
      <c r="B88">
        <v>16800.077999999998</v>
      </c>
    </row>
    <row r="89" ht="14.25">
      <c r="A89" s="17" t="s">
        <v>17</v>
      </c>
      <c r="B89">
        <v>769515.85919999983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min="1" max="1" width="8.00390625"/>
    <col bestFit="1" customWidth="1" min="2" max="2" width="10.421875"/>
    <col bestFit="1" min="3" max="3" width="17.8515625"/>
    <col bestFit="1" min="4" max="4" width="5.28125"/>
    <col bestFit="1" min="5" max="5" width="8.28125"/>
    <col bestFit="1" min="6" max="6" width="13.140625"/>
    <col bestFit="1" min="7" max="7" width="15.8515625"/>
    <col bestFit="1" min="8" max="8" width="14.8515625"/>
    <col bestFit="1" min="9" max="9" width="7.28125"/>
    <col bestFit="1" min="10" max="10" width="9.28125"/>
    <col bestFit="1" min="11" max="11" width="14.28125"/>
  </cols>
  <sheetData>
    <row r="1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</v>
      </c>
      <c r="I1" t="s">
        <v>72</v>
      </c>
      <c r="J1" t="s">
        <v>73</v>
      </c>
      <c r="K1" t="s">
        <v>74</v>
      </c>
    </row>
    <row r="2">
      <c r="A2">
        <v>10452</v>
      </c>
      <c r="B2" s="24">
        <v>44872</v>
      </c>
      <c r="C2" t="s">
        <v>75</v>
      </c>
      <c r="D2" s="25">
        <v>3.4900000000000002</v>
      </c>
      <c r="E2" s="26">
        <v>573.07000000000005</v>
      </c>
      <c r="F2" t="s">
        <v>76</v>
      </c>
      <c r="G2" t="s">
        <v>77</v>
      </c>
      <c r="H2" t="s">
        <v>78</v>
      </c>
      <c r="I2" t="s">
        <v>79</v>
      </c>
      <c r="J2">
        <f t="shared" ref="J2:J9" si="0">D2*E2</f>
        <v>2000.0143000000003</v>
      </c>
      <c r="K2" t="str">
        <f t="shared" ref="K2:K9" si="1">TRIM(H2)</f>
        <v xml:space="preserve">Tom Jackson</v>
      </c>
    </row>
    <row r="3">
      <c r="A3">
        <v>10453</v>
      </c>
      <c r="B3" s="24">
        <v>44872</v>
      </c>
      <c r="C3" t="s">
        <v>80</v>
      </c>
      <c r="D3" s="25">
        <v>2.9500000000000002</v>
      </c>
      <c r="E3" s="26">
        <v>745.75999999999999</v>
      </c>
      <c r="F3" t="s">
        <v>81</v>
      </c>
      <c r="G3" t="s">
        <v>82</v>
      </c>
      <c r="H3" t="s">
        <v>83</v>
      </c>
      <c r="I3" t="s">
        <v>84</v>
      </c>
      <c r="J3">
        <f t="shared" si="0"/>
        <v>2199.9920000000002</v>
      </c>
      <c r="K3" t="str">
        <f t="shared" si="1"/>
        <v xml:space="preserve">Pablo Perez</v>
      </c>
    </row>
    <row r="4">
      <c r="A4">
        <v>10454</v>
      </c>
      <c r="B4" s="24">
        <v>44872</v>
      </c>
      <c r="C4" t="s">
        <v>85</v>
      </c>
      <c r="D4" s="25">
        <v>4.9900000000000002</v>
      </c>
      <c r="E4" s="27">
        <v>200.40000000000001</v>
      </c>
      <c r="F4" t="s">
        <v>86</v>
      </c>
      <c r="G4" t="s">
        <v>87</v>
      </c>
      <c r="H4" t="s">
        <v>88</v>
      </c>
      <c r="I4" t="s">
        <v>89</v>
      </c>
      <c r="J4">
        <f t="shared" si="0"/>
        <v>999.99600000000009</v>
      </c>
      <c r="K4" t="str">
        <f t="shared" si="1"/>
        <v xml:space="preserve">Joao Silva</v>
      </c>
    </row>
    <row r="5">
      <c r="A5">
        <v>10455</v>
      </c>
      <c r="B5" s="24">
        <v>44873</v>
      </c>
      <c r="C5" t="s">
        <v>90</v>
      </c>
      <c r="D5" s="28">
        <v>12.99</v>
      </c>
      <c r="E5" s="26">
        <v>569.66999999999996</v>
      </c>
      <c r="F5" t="s">
        <v>91</v>
      </c>
      <c r="G5" t="s">
        <v>92</v>
      </c>
      <c r="H5" t="s">
        <v>93</v>
      </c>
      <c r="I5" t="s">
        <v>94</v>
      </c>
      <c r="J5">
        <f t="shared" si="0"/>
        <v>7400.0132999999996</v>
      </c>
      <c r="K5" t="str">
        <f t="shared" si="1"/>
        <v xml:space="preserve">Walter Muller</v>
      </c>
    </row>
    <row r="6">
      <c r="A6">
        <v>10456</v>
      </c>
      <c r="B6" s="24">
        <v>44873</v>
      </c>
      <c r="C6" t="s">
        <v>95</v>
      </c>
      <c r="D6" s="25">
        <v>9.9499999999999993</v>
      </c>
      <c r="E6" s="26">
        <v>201.00999999999999</v>
      </c>
      <c r="F6" t="s">
        <v>96</v>
      </c>
      <c r="G6" t="s">
        <v>97</v>
      </c>
      <c r="H6" t="s">
        <v>98</v>
      </c>
      <c r="I6" t="s">
        <v>99</v>
      </c>
      <c r="J6">
        <f t="shared" si="0"/>
        <v>2000.0494999999999</v>
      </c>
      <c r="K6" t="str">
        <f t="shared" si="1"/>
        <v xml:space="preserve">Walter Muller</v>
      </c>
    </row>
    <row r="7">
      <c r="A7">
        <v>10457</v>
      </c>
      <c r="B7" s="24">
        <v>44873</v>
      </c>
      <c r="C7" t="s">
        <v>100</v>
      </c>
      <c r="D7" s="25">
        <v>3.4900000000000002</v>
      </c>
      <c r="E7" s="26">
        <v>573.07000000000005</v>
      </c>
      <c r="F7" t="s">
        <v>101</v>
      </c>
      <c r="G7" t="s">
        <v>102</v>
      </c>
      <c r="H7" t="s">
        <v>103</v>
      </c>
      <c r="I7" t="s">
        <v>104</v>
      </c>
      <c r="J7">
        <f t="shared" si="0"/>
        <v>2000.0143000000003</v>
      </c>
      <c r="K7" t="str">
        <f t="shared" si="1"/>
        <v xml:space="preserve">Remy Monet</v>
      </c>
    </row>
    <row r="8">
      <c r="A8">
        <v>10459</v>
      </c>
      <c r="B8" s="24">
        <v>44873</v>
      </c>
      <c r="C8" t="s">
        <v>105</v>
      </c>
      <c r="D8" s="25">
        <v>4.9900000000000002</v>
      </c>
      <c r="E8" s="27">
        <v>200.40000000000001</v>
      </c>
      <c r="F8" t="s">
        <v>106</v>
      </c>
      <c r="G8" t="s">
        <v>107</v>
      </c>
      <c r="H8" t="s">
        <v>108</v>
      </c>
      <c r="I8" t="s">
        <v>109</v>
      </c>
      <c r="J8">
        <f t="shared" si="0"/>
        <v>999.99600000000009</v>
      </c>
      <c r="K8" t="str">
        <f t="shared" si="1"/>
        <v xml:space="preserve">Walter Muller</v>
      </c>
    </row>
    <row r="9">
      <c r="A9">
        <v>10460</v>
      </c>
      <c r="B9" s="24">
        <v>44874</v>
      </c>
      <c r="C9" t="s">
        <v>110</v>
      </c>
      <c r="D9" s="28">
        <v>12.99</v>
      </c>
      <c r="E9" s="26">
        <v>554.26999999999998</v>
      </c>
      <c r="F9" t="s">
        <v>111</v>
      </c>
      <c r="G9" t="s">
        <v>112</v>
      </c>
      <c r="H9" t="s">
        <v>113</v>
      </c>
      <c r="I9" t="s">
        <v>114</v>
      </c>
      <c r="J9">
        <f t="shared" si="0"/>
        <v>7199.9673000000003</v>
      </c>
      <c r="K9" t="str">
        <f t="shared" si="1"/>
        <v xml:space="preserve">Remy Monet</v>
      </c>
    </row>
    <row r="10">
      <c r="A10">
        <v>10461</v>
      </c>
      <c r="B10" s="24">
        <v>44874</v>
      </c>
      <c r="C10" t="s">
        <v>115</v>
      </c>
      <c r="D10" s="25">
        <v>9.9499999999999993</v>
      </c>
      <c r="E10" s="26">
        <v>201.00999999999999</v>
      </c>
      <c r="F10" t="s">
        <v>116</v>
      </c>
      <c r="G10" t="s">
        <v>117</v>
      </c>
      <c r="H10" t="s">
        <v>118</v>
      </c>
      <c r="I10" t="s">
        <v>119</v>
      </c>
      <c r="J10">
        <f t="shared" ref="J10:J73" si="2">D10*E10</f>
        <v>2000.0494999999999</v>
      </c>
      <c r="K10" t="str">
        <f t="shared" ref="K10:K73" si="3">TRIM(H10)</f>
        <v xml:space="preserve">Remy Monet</v>
      </c>
    </row>
    <row r="11">
      <c r="A11">
        <v>10462</v>
      </c>
      <c r="B11" s="24">
        <v>44874</v>
      </c>
      <c r="C11" t="s">
        <v>120</v>
      </c>
      <c r="D11" s="25">
        <v>3.4900000000000002</v>
      </c>
      <c r="E11" s="26">
        <v>573.07000000000005</v>
      </c>
      <c r="F11" t="s">
        <v>121</v>
      </c>
      <c r="G11" t="s">
        <v>122</v>
      </c>
      <c r="H11" t="s">
        <v>123</v>
      </c>
      <c r="I11" t="s">
        <v>124</v>
      </c>
      <c r="J11">
        <f t="shared" si="2"/>
        <v>2000.0143000000003</v>
      </c>
      <c r="K11" t="str">
        <f t="shared" si="3"/>
        <v xml:space="preserve">Remy Monet</v>
      </c>
    </row>
    <row r="12">
      <c r="A12">
        <v>10463</v>
      </c>
      <c r="B12" s="24">
        <v>44874</v>
      </c>
      <c r="C12" t="s">
        <v>125</v>
      </c>
      <c r="D12" s="25">
        <v>2.9500000000000002</v>
      </c>
      <c r="E12" s="26">
        <v>677.97000000000003</v>
      </c>
      <c r="F12" t="s">
        <v>126</v>
      </c>
      <c r="G12" t="s">
        <v>127</v>
      </c>
      <c r="H12" t="s">
        <v>128</v>
      </c>
      <c r="I12" t="s">
        <v>129</v>
      </c>
      <c r="J12">
        <f t="shared" si="2"/>
        <v>2000.0115000000003</v>
      </c>
      <c r="K12" t="str">
        <f t="shared" si="3"/>
        <v xml:space="preserve">Remy Monet</v>
      </c>
    </row>
    <row r="13">
      <c r="A13">
        <v>10464</v>
      </c>
      <c r="B13" s="24">
        <v>44874</v>
      </c>
      <c r="C13" t="s">
        <v>130</v>
      </c>
      <c r="D13" s="25">
        <v>4.9900000000000002</v>
      </c>
      <c r="E13" s="27">
        <v>200.40000000000001</v>
      </c>
      <c r="F13" t="s">
        <v>131</v>
      </c>
      <c r="G13" t="s">
        <v>132</v>
      </c>
      <c r="H13" t="s">
        <v>133</v>
      </c>
      <c r="I13" t="s">
        <v>134</v>
      </c>
      <c r="J13">
        <f t="shared" si="2"/>
        <v>999.99600000000009</v>
      </c>
      <c r="K13" t="str">
        <f t="shared" si="3"/>
        <v xml:space="preserve">Remy Monet</v>
      </c>
    </row>
    <row r="14">
      <c r="A14">
        <v>10465</v>
      </c>
      <c r="B14" s="24">
        <v>44875</v>
      </c>
      <c r="C14" t="s">
        <v>135</v>
      </c>
      <c r="D14" s="28">
        <v>12.99</v>
      </c>
      <c r="E14" s="26">
        <v>554.26999999999998</v>
      </c>
      <c r="F14" t="s">
        <v>136</v>
      </c>
      <c r="G14" t="s">
        <v>137</v>
      </c>
      <c r="H14" t="s">
        <v>138</v>
      </c>
      <c r="I14" t="s">
        <v>139</v>
      </c>
      <c r="J14">
        <f t="shared" si="2"/>
        <v>7199.9673000000003</v>
      </c>
      <c r="K14" t="str">
        <f t="shared" si="3"/>
        <v xml:space="preserve">Pablo Perez</v>
      </c>
    </row>
    <row r="15">
      <c r="A15">
        <v>10466</v>
      </c>
      <c r="B15" s="24">
        <v>44875</v>
      </c>
      <c r="C15" t="s">
        <v>140</v>
      </c>
      <c r="D15" s="25">
        <v>9.9499999999999993</v>
      </c>
      <c r="E15" s="26">
        <v>201.00999999999999</v>
      </c>
      <c r="F15" t="s">
        <v>141</v>
      </c>
      <c r="G15" t="s">
        <v>142</v>
      </c>
      <c r="H15" t="s">
        <v>143</v>
      </c>
      <c r="I15" t="s">
        <v>144</v>
      </c>
      <c r="J15">
        <f t="shared" si="2"/>
        <v>2000.0494999999999</v>
      </c>
      <c r="K15" t="str">
        <f t="shared" si="3"/>
        <v xml:space="preserve">Pablo Perez</v>
      </c>
    </row>
    <row r="16">
      <c r="A16">
        <v>10467</v>
      </c>
      <c r="B16" s="24">
        <v>44875</v>
      </c>
      <c r="C16" t="s">
        <v>145</v>
      </c>
      <c r="D16" s="25">
        <v>3.4900000000000002</v>
      </c>
      <c r="E16" s="26">
        <v>573.07000000000005</v>
      </c>
      <c r="F16" t="s">
        <v>146</v>
      </c>
      <c r="G16" t="s">
        <v>147</v>
      </c>
      <c r="H16" t="s">
        <v>148</v>
      </c>
      <c r="I16" t="s">
        <v>149</v>
      </c>
      <c r="J16">
        <f t="shared" si="2"/>
        <v>2000.0143000000003</v>
      </c>
      <c r="K16" t="str">
        <f t="shared" si="3"/>
        <v xml:space="preserve">Pablo Perez</v>
      </c>
    </row>
    <row r="17">
      <c r="A17">
        <v>10468</v>
      </c>
      <c r="B17" s="24">
        <v>44875</v>
      </c>
      <c r="C17" t="s">
        <v>150</v>
      </c>
      <c r="D17" s="25">
        <v>2.9500000000000002</v>
      </c>
      <c r="E17" s="26">
        <v>677.97000000000003</v>
      </c>
      <c r="F17" t="s">
        <v>151</v>
      </c>
      <c r="G17" t="s">
        <v>152</v>
      </c>
      <c r="H17" t="s">
        <v>153</v>
      </c>
      <c r="I17" t="s">
        <v>154</v>
      </c>
      <c r="J17">
        <f t="shared" si="2"/>
        <v>2000.0115000000003</v>
      </c>
      <c r="K17" t="str">
        <f t="shared" si="3"/>
        <v xml:space="preserve">Pablo Perez</v>
      </c>
    </row>
    <row r="18">
      <c r="A18">
        <v>10470</v>
      </c>
      <c r="B18" s="24">
        <v>44876</v>
      </c>
      <c r="C18" t="s">
        <v>155</v>
      </c>
      <c r="D18" s="28">
        <v>12.99</v>
      </c>
      <c r="E18" s="26">
        <v>554.26999999999998</v>
      </c>
      <c r="F18" t="s">
        <v>156</v>
      </c>
      <c r="G18" t="s">
        <v>157</v>
      </c>
      <c r="H18" t="s">
        <v>158</v>
      </c>
      <c r="I18" t="s">
        <v>159</v>
      </c>
      <c r="J18">
        <f t="shared" si="2"/>
        <v>7199.9673000000003</v>
      </c>
      <c r="K18" t="str">
        <f t="shared" si="3"/>
        <v xml:space="preserve">Pablo Perez</v>
      </c>
    </row>
    <row r="19">
      <c r="A19">
        <v>10471</v>
      </c>
      <c r="B19" s="24">
        <v>44876</v>
      </c>
      <c r="C19" t="s">
        <v>160</v>
      </c>
      <c r="D19" s="25">
        <v>9.9499999999999993</v>
      </c>
      <c r="E19" s="26">
        <v>201.00999999999999</v>
      </c>
      <c r="F19" t="s">
        <v>161</v>
      </c>
      <c r="G19" t="s">
        <v>162</v>
      </c>
      <c r="H19" t="s">
        <v>163</v>
      </c>
      <c r="I19" t="s">
        <v>164</v>
      </c>
      <c r="J19">
        <f t="shared" si="2"/>
        <v>2000.0494999999999</v>
      </c>
      <c r="K19" t="str">
        <f t="shared" si="3"/>
        <v xml:space="preserve">Pablo Perez</v>
      </c>
    </row>
    <row r="20">
      <c r="A20">
        <v>10472</v>
      </c>
      <c r="B20" s="24">
        <v>44876</v>
      </c>
      <c r="C20" t="s">
        <v>165</v>
      </c>
      <c r="D20" s="25">
        <v>3.4900000000000002</v>
      </c>
      <c r="E20" s="26">
        <v>630.37</v>
      </c>
      <c r="F20" t="s">
        <v>166</v>
      </c>
      <c r="G20" t="s">
        <v>167</v>
      </c>
      <c r="H20" t="s">
        <v>168</v>
      </c>
      <c r="I20" t="s">
        <v>169</v>
      </c>
      <c r="J20">
        <f t="shared" si="2"/>
        <v>2199.9913000000001</v>
      </c>
      <c r="K20" t="str">
        <f t="shared" si="3"/>
        <v xml:space="preserve">Pablo Perez</v>
      </c>
    </row>
    <row r="21">
      <c r="A21">
        <v>10473</v>
      </c>
      <c r="B21" s="24">
        <v>44876</v>
      </c>
      <c r="C21" t="s">
        <v>170</v>
      </c>
      <c r="D21" s="25">
        <v>2.9500000000000002</v>
      </c>
      <c r="E21" s="26">
        <v>677.97000000000003</v>
      </c>
      <c r="F21" t="s">
        <v>171</v>
      </c>
      <c r="G21" t="s">
        <v>172</v>
      </c>
      <c r="H21" t="s">
        <v>173</v>
      </c>
      <c r="I21" t="s">
        <v>174</v>
      </c>
      <c r="J21">
        <f t="shared" si="2"/>
        <v>2000.0115000000003</v>
      </c>
      <c r="K21" t="str">
        <f t="shared" si="3"/>
        <v xml:space="preserve">Pablo Perez</v>
      </c>
    </row>
    <row r="22">
      <c r="A22">
        <v>10474</v>
      </c>
      <c r="B22" s="24">
        <v>44876</v>
      </c>
      <c r="C22" t="s">
        <v>175</v>
      </c>
      <c r="D22" s="25">
        <v>4.9900000000000002</v>
      </c>
      <c r="E22" s="27">
        <v>200.40000000000001</v>
      </c>
      <c r="F22" t="s">
        <v>176</v>
      </c>
      <c r="G22" t="s">
        <v>177</v>
      </c>
      <c r="H22" t="s">
        <v>178</v>
      </c>
      <c r="I22" t="s">
        <v>179</v>
      </c>
      <c r="J22">
        <f t="shared" si="2"/>
        <v>999.99600000000009</v>
      </c>
      <c r="K22" t="str">
        <f t="shared" si="3"/>
        <v xml:space="preserve">Pablo Perez</v>
      </c>
    </row>
    <row r="23">
      <c r="A23">
        <v>10475</v>
      </c>
      <c r="B23" s="24">
        <v>44877</v>
      </c>
      <c r="C23" t="s">
        <v>180</v>
      </c>
      <c r="D23" s="28">
        <v>12.99</v>
      </c>
      <c r="E23" s="26">
        <v>523.48000000000002</v>
      </c>
      <c r="F23" t="s">
        <v>181</v>
      </c>
      <c r="G23" t="s">
        <v>182</v>
      </c>
      <c r="H23" t="s">
        <v>183</v>
      </c>
      <c r="I23" t="s">
        <v>184</v>
      </c>
      <c r="J23">
        <f t="shared" si="2"/>
        <v>6800.0052000000005</v>
      </c>
      <c r="K23" t="str">
        <f t="shared" si="3"/>
        <v xml:space="preserve">Pablo Perez</v>
      </c>
    </row>
    <row r="24">
      <c r="A24">
        <v>10476</v>
      </c>
      <c r="B24" s="24">
        <v>44877</v>
      </c>
      <c r="C24" t="s">
        <v>185</v>
      </c>
      <c r="D24" s="25">
        <v>9.9499999999999993</v>
      </c>
      <c r="E24" s="26">
        <v>201.00999999999999</v>
      </c>
      <c r="F24" t="s">
        <v>186</v>
      </c>
      <c r="G24" t="s">
        <v>187</v>
      </c>
      <c r="H24" t="s">
        <v>188</v>
      </c>
      <c r="I24" t="s">
        <v>189</v>
      </c>
      <c r="J24">
        <f t="shared" si="2"/>
        <v>2000.0494999999999</v>
      </c>
      <c r="K24" t="str">
        <f t="shared" si="3"/>
        <v xml:space="preserve">Pablo Perez</v>
      </c>
    </row>
    <row r="25">
      <c r="A25">
        <v>10477</v>
      </c>
      <c r="B25" s="24">
        <v>44877</v>
      </c>
      <c r="C25" t="s">
        <v>190</v>
      </c>
      <c r="D25" s="25">
        <v>3.4900000000000002</v>
      </c>
      <c r="E25" s="26">
        <v>630.37</v>
      </c>
      <c r="F25" t="s">
        <v>191</v>
      </c>
      <c r="G25" t="s">
        <v>192</v>
      </c>
      <c r="H25" t="s">
        <v>193</v>
      </c>
      <c r="I25" t="s">
        <v>194</v>
      </c>
      <c r="J25">
        <f t="shared" si="2"/>
        <v>2199.9913000000001</v>
      </c>
      <c r="K25" t="str">
        <f t="shared" si="3"/>
        <v xml:space="preserve">Pablo Perez</v>
      </c>
    </row>
    <row r="26">
      <c r="A26">
        <v>10478</v>
      </c>
      <c r="B26" s="24">
        <v>44877</v>
      </c>
      <c r="C26" t="s">
        <v>195</v>
      </c>
      <c r="D26" s="25">
        <v>2.9500000000000002</v>
      </c>
      <c r="E26" s="26">
        <v>677.97000000000003</v>
      </c>
      <c r="F26" t="s">
        <v>196</v>
      </c>
      <c r="G26" t="s">
        <v>197</v>
      </c>
      <c r="H26" t="s">
        <v>198</v>
      </c>
      <c r="I26" t="s">
        <v>199</v>
      </c>
      <c r="J26">
        <f t="shared" si="2"/>
        <v>2000.0115000000003</v>
      </c>
      <c r="K26" t="str">
        <f t="shared" si="3"/>
        <v xml:space="preserve">Pablo Perez</v>
      </c>
    </row>
    <row r="27">
      <c r="A27">
        <v>10479</v>
      </c>
      <c r="B27" s="24">
        <v>44877</v>
      </c>
      <c r="C27" t="s">
        <v>200</v>
      </c>
      <c r="D27" s="25">
        <v>4.9900000000000002</v>
      </c>
      <c r="E27" s="27">
        <v>200.40000000000001</v>
      </c>
      <c r="F27" t="s">
        <v>201</v>
      </c>
      <c r="G27" t="s">
        <v>202</v>
      </c>
      <c r="H27" t="s">
        <v>203</v>
      </c>
      <c r="I27" t="s">
        <v>204</v>
      </c>
      <c r="J27">
        <f t="shared" si="2"/>
        <v>999.99600000000009</v>
      </c>
      <c r="K27" t="str">
        <f t="shared" si="3"/>
        <v xml:space="preserve">Pablo Perez</v>
      </c>
    </row>
    <row r="28">
      <c r="A28">
        <v>10480</v>
      </c>
      <c r="B28" s="24">
        <v>44878</v>
      </c>
      <c r="C28" t="s">
        <v>205</v>
      </c>
      <c r="D28" s="28">
        <v>12.99</v>
      </c>
      <c r="E28" s="26">
        <v>508.07999999999998</v>
      </c>
      <c r="F28" t="s">
        <v>206</v>
      </c>
      <c r="G28" t="s">
        <v>207</v>
      </c>
      <c r="H28" t="s">
        <v>208</v>
      </c>
      <c r="I28" t="s">
        <v>209</v>
      </c>
      <c r="J28">
        <f t="shared" si="2"/>
        <v>6599.9592000000002</v>
      </c>
      <c r="K28" t="str">
        <f t="shared" si="3"/>
        <v xml:space="preserve">Pablo Perez</v>
      </c>
    </row>
    <row r="29">
      <c r="A29">
        <v>10481</v>
      </c>
      <c r="B29" s="24">
        <v>44878</v>
      </c>
      <c r="C29" t="s">
        <v>210</v>
      </c>
      <c r="D29" s="25">
        <v>9.9499999999999993</v>
      </c>
      <c r="E29" s="26">
        <v>201.00999999999999</v>
      </c>
      <c r="F29" t="s">
        <v>211</v>
      </c>
      <c r="G29" t="s">
        <v>212</v>
      </c>
      <c r="H29" t="s">
        <v>213</v>
      </c>
      <c r="I29" t="s">
        <v>214</v>
      </c>
      <c r="J29">
        <f t="shared" si="2"/>
        <v>2000.0494999999999</v>
      </c>
      <c r="K29" t="str">
        <f t="shared" si="3"/>
        <v xml:space="preserve">Pablo Perez</v>
      </c>
    </row>
    <row r="30">
      <c r="A30">
        <v>10482</v>
      </c>
      <c r="B30" s="24">
        <v>44878</v>
      </c>
      <c r="C30" t="s">
        <v>215</v>
      </c>
      <c r="D30" s="29">
        <v>25.5</v>
      </c>
      <c r="E30" s="26">
        <v>630.37</v>
      </c>
      <c r="F30" t="s">
        <v>216</v>
      </c>
      <c r="G30" t="s">
        <v>217</v>
      </c>
      <c r="H30" t="s">
        <v>218</v>
      </c>
      <c r="I30" t="s">
        <v>219</v>
      </c>
      <c r="J30">
        <f t="shared" si="2"/>
        <v>16074.434999999999</v>
      </c>
      <c r="K30" t="str">
        <f t="shared" si="3"/>
        <v xml:space="preserve">Joao Silva</v>
      </c>
    </row>
    <row r="31">
      <c r="A31">
        <v>10486</v>
      </c>
      <c r="B31" s="24">
        <v>44879</v>
      </c>
      <c r="C31" t="s">
        <v>220</v>
      </c>
      <c r="D31" s="28">
        <v>29.050000000000001</v>
      </c>
      <c r="E31" s="26">
        <v>201.00999999999999</v>
      </c>
      <c r="F31" t="s">
        <v>221</v>
      </c>
      <c r="G31" t="s">
        <v>222</v>
      </c>
      <c r="H31" t="s">
        <v>223</v>
      </c>
      <c r="I31" t="s">
        <v>224</v>
      </c>
      <c r="J31">
        <f t="shared" si="2"/>
        <v>5839.3405000000002</v>
      </c>
      <c r="K31" t="str">
        <f t="shared" si="3"/>
        <v xml:space="preserve">Joao Silva</v>
      </c>
    </row>
    <row r="32">
      <c r="A32">
        <v>10487</v>
      </c>
      <c r="B32" s="24">
        <v>44879</v>
      </c>
      <c r="C32" t="s">
        <v>225</v>
      </c>
      <c r="D32" s="25">
        <v>3.4900000000000002</v>
      </c>
      <c r="E32" s="26">
        <v>630.37</v>
      </c>
      <c r="F32" t="s">
        <v>226</v>
      </c>
      <c r="G32" t="s">
        <v>227</v>
      </c>
      <c r="H32" t="s">
        <v>228</v>
      </c>
      <c r="I32" t="s">
        <v>229</v>
      </c>
      <c r="J32">
        <f t="shared" si="2"/>
        <v>2199.9913000000001</v>
      </c>
      <c r="K32" t="str">
        <f t="shared" si="3"/>
        <v xml:space="preserve">Joao Silva</v>
      </c>
    </row>
    <row r="33">
      <c r="A33">
        <v>10488</v>
      </c>
      <c r="B33" s="24">
        <v>44879</v>
      </c>
      <c r="C33" t="s">
        <v>230</v>
      </c>
      <c r="D33" s="25">
        <v>2.9500000000000002</v>
      </c>
      <c r="E33" s="26">
        <v>677.97000000000003</v>
      </c>
      <c r="F33" t="s">
        <v>231</v>
      </c>
      <c r="G33" t="s">
        <v>232</v>
      </c>
      <c r="H33" t="s">
        <v>233</v>
      </c>
      <c r="I33" t="s">
        <v>234</v>
      </c>
      <c r="J33">
        <f t="shared" si="2"/>
        <v>2000.0115000000003</v>
      </c>
      <c r="K33" t="str">
        <f t="shared" si="3"/>
        <v xml:space="preserve">Joao Silva</v>
      </c>
    </row>
    <row r="34">
      <c r="A34">
        <v>10489</v>
      </c>
      <c r="B34" s="24">
        <v>44879</v>
      </c>
      <c r="C34" t="s">
        <v>235</v>
      </c>
      <c r="D34" s="25">
        <v>4.9900000000000002</v>
      </c>
      <c r="E34" s="27">
        <v>200.40000000000001</v>
      </c>
      <c r="F34" t="s">
        <v>236</v>
      </c>
      <c r="G34" t="s">
        <v>237</v>
      </c>
      <c r="H34" t="s">
        <v>238</v>
      </c>
      <c r="I34" t="s">
        <v>239</v>
      </c>
      <c r="J34">
        <f t="shared" si="2"/>
        <v>999.99600000000009</v>
      </c>
      <c r="K34" t="str">
        <f t="shared" si="3"/>
        <v xml:space="preserve">Pablo Perez</v>
      </c>
    </row>
    <row r="35">
      <c r="A35">
        <v>10490</v>
      </c>
      <c r="B35" s="24">
        <v>44880</v>
      </c>
      <c r="C35" t="s">
        <v>240</v>
      </c>
      <c r="D35" s="28">
        <v>12.99</v>
      </c>
      <c r="E35" s="26">
        <v>508.07999999999998</v>
      </c>
      <c r="F35" t="s">
        <v>241</v>
      </c>
      <c r="G35" t="s">
        <v>242</v>
      </c>
      <c r="H35" t="s">
        <v>243</v>
      </c>
      <c r="I35" t="s">
        <v>244</v>
      </c>
      <c r="J35">
        <f t="shared" si="2"/>
        <v>6599.9592000000002</v>
      </c>
      <c r="K35" t="str">
        <f t="shared" si="3"/>
        <v xml:space="preserve">Pablo Perez</v>
      </c>
    </row>
    <row r="36">
      <c r="A36">
        <v>10491</v>
      </c>
      <c r="B36" s="24">
        <v>44880</v>
      </c>
      <c r="C36" t="s">
        <v>245</v>
      </c>
      <c r="D36" s="25">
        <v>9.9499999999999993</v>
      </c>
      <c r="E36" s="26">
        <v>201.00999999999999</v>
      </c>
      <c r="F36" t="s">
        <v>246</v>
      </c>
      <c r="G36" t="s">
        <v>247</v>
      </c>
      <c r="H36" t="s">
        <v>248</v>
      </c>
      <c r="I36" t="s">
        <v>249</v>
      </c>
      <c r="J36">
        <f t="shared" si="2"/>
        <v>2000.0494999999999</v>
      </c>
      <c r="K36" t="str">
        <f t="shared" si="3"/>
        <v xml:space="preserve">Pablo Perez</v>
      </c>
    </row>
    <row r="37">
      <c r="A37">
        <v>10492</v>
      </c>
      <c r="B37" s="24">
        <v>44880</v>
      </c>
      <c r="C37" t="s">
        <v>250</v>
      </c>
      <c r="D37" s="25">
        <v>3.4900000000000002</v>
      </c>
      <c r="E37" s="26">
        <v>573.07000000000005</v>
      </c>
      <c r="F37" t="s">
        <v>251</v>
      </c>
      <c r="G37" t="s">
        <v>252</v>
      </c>
      <c r="H37" t="s">
        <v>253</v>
      </c>
      <c r="I37" t="s">
        <v>254</v>
      </c>
      <c r="J37">
        <f t="shared" si="2"/>
        <v>2000.0143000000003</v>
      </c>
      <c r="K37" t="str">
        <f t="shared" si="3"/>
        <v xml:space="preserve">Pablo Perez</v>
      </c>
    </row>
    <row r="38">
      <c r="A38">
        <v>10493</v>
      </c>
      <c r="B38" s="24">
        <v>44880</v>
      </c>
      <c r="C38" t="s">
        <v>255</v>
      </c>
      <c r="D38" s="25">
        <v>2.9500000000000002</v>
      </c>
      <c r="E38" s="26">
        <v>677.97000000000003</v>
      </c>
      <c r="F38" t="s">
        <v>256</v>
      </c>
      <c r="G38" t="s">
        <v>257</v>
      </c>
      <c r="H38" t="s">
        <v>258</v>
      </c>
      <c r="I38" t="s">
        <v>259</v>
      </c>
      <c r="J38">
        <f t="shared" si="2"/>
        <v>2000.0115000000003</v>
      </c>
      <c r="K38" t="str">
        <f t="shared" si="3"/>
        <v xml:space="preserve">Pablo Perez</v>
      </c>
    </row>
    <row r="39">
      <c r="A39">
        <v>10494</v>
      </c>
      <c r="B39" s="24">
        <v>44880</v>
      </c>
      <c r="C39" t="s">
        <v>260</v>
      </c>
      <c r="D39" s="25">
        <v>4.9900000000000002</v>
      </c>
      <c r="E39" s="27">
        <v>200.40000000000001</v>
      </c>
      <c r="F39" t="s">
        <v>261</v>
      </c>
      <c r="G39" t="s">
        <v>262</v>
      </c>
      <c r="H39" t="s">
        <v>263</v>
      </c>
      <c r="I39" t="s">
        <v>264</v>
      </c>
      <c r="J39">
        <f t="shared" si="2"/>
        <v>999.99600000000009</v>
      </c>
      <c r="K39" t="str">
        <f t="shared" si="3"/>
        <v xml:space="preserve">Pablo Perez</v>
      </c>
    </row>
    <row r="40">
      <c r="A40">
        <v>10495</v>
      </c>
      <c r="B40" s="24">
        <v>44881</v>
      </c>
      <c r="C40" t="s">
        <v>265</v>
      </c>
      <c r="D40" s="28">
        <v>12.99</v>
      </c>
      <c r="E40" s="26">
        <v>508.07999999999998</v>
      </c>
      <c r="F40" t="s">
        <v>266</v>
      </c>
      <c r="G40" t="s">
        <v>267</v>
      </c>
      <c r="H40" t="s">
        <v>268</v>
      </c>
      <c r="I40" t="s">
        <v>269</v>
      </c>
      <c r="J40">
        <f t="shared" si="2"/>
        <v>6599.9592000000002</v>
      </c>
      <c r="K40" t="str">
        <f t="shared" si="3"/>
        <v xml:space="preserve">Pablo Perez</v>
      </c>
    </row>
    <row r="41">
      <c r="A41">
        <v>10496</v>
      </c>
      <c r="B41" s="24">
        <v>44881</v>
      </c>
      <c r="C41" t="s">
        <v>270</v>
      </c>
      <c r="D41" s="25">
        <v>9.9499999999999993</v>
      </c>
      <c r="E41" s="26">
        <v>201.00999999999999</v>
      </c>
      <c r="F41" t="s">
        <v>271</v>
      </c>
      <c r="G41" t="s">
        <v>272</v>
      </c>
      <c r="H41" t="s">
        <v>273</v>
      </c>
      <c r="I41" t="s">
        <v>274</v>
      </c>
      <c r="J41">
        <f t="shared" si="2"/>
        <v>2000.0494999999999</v>
      </c>
      <c r="K41" t="str">
        <f t="shared" si="3"/>
        <v xml:space="preserve">Pablo Perez</v>
      </c>
    </row>
    <row r="42">
      <c r="A42">
        <v>10497</v>
      </c>
      <c r="B42" s="24">
        <v>44881</v>
      </c>
      <c r="C42" t="s">
        <v>275</v>
      </c>
      <c r="D42" s="25">
        <v>3.4900000000000002</v>
      </c>
      <c r="E42" s="26">
        <v>573.07000000000005</v>
      </c>
      <c r="F42" t="s">
        <v>276</v>
      </c>
      <c r="G42" t="s">
        <v>277</v>
      </c>
      <c r="H42" t="s">
        <v>278</v>
      </c>
      <c r="I42" t="s">
        <v>279</v>
      </c>
      <c r="J42">
        <f t="shared" si="2"/>
        <v>2000.0143000000003</v>
      </c>
      <c r="K42" t="str">
        <f t="shared" si="3"/>
        <v xml:space="preserve">Pablo Perez</v>
      </c>
    </row>
    <row r="43">
      <c r="A43">
        <v>10498</v>
      </c>
      <c r="B43" s="24">
        <v>44881</v>
      </c>
      <c r="C43" t="s">
        <v>280</v>
      </c>
      <c r="D43" s="25">
        <v>2.9500000000000002</v>
      </c>
      <c r="E43" s="26">
        <v>677.97000000000003</v>
      </c>
      <c r="F43" t="s">
        <v>281</v>
      </c>
      <c r="G43" t="s">
        <v>282</v>
      </c>
      <c r="H43" t="s">
        <v>283</v>
      </c>
      <c r="I43" t="s">
        <v>284</v>
      </c>
      <c r="J43">
        <f t="shared" si="2"/>
        <v>2000.0115000000003</v>
      </c>
      <c r="K43" t="str">
        <f t="shared" si="3"/>
        <v xml:space="preserve">Pablo Perez</v>
      </c>
    </row>
    <row r="44">
      <c r="A44">
        <v>10499</v>
      </c>
      <c r="B44" s="24">
        <v>44881</v>
      </c>
      <c r="C44" t="s">
        <v>285</v>
      </c>
      <c r="D44" s="25">
        <v>4.9900000000000002</v>
      </c>
      <c r="E44" s="27">
        <v>200.40000000000001</v>
      </c>
      <c r="F44" t="s">
        <v>286</v>
      </c>
      <c r="G44" t="s">
        <v>287</v>
      </c>
      <c r="H44" t="s">
        <v>288</v>
      </c>
      <c r="I44" t="s">
        <v>289</v>
      </c>
      <c r="J44">
        <f t="shared" si="2"/>
        <v>999.99600000000009</v>
      </c>
      <c r="K44" t="str">
        <f t="shared" si="3"/>
        <v xml:space="preserve">Pablo Perez</v>
      </c>
    </row>
    <row r="45">
      <c r="A45">
        <v>10500</v>
      </c>
      <c r="B45" s="24">
        <v>44882</v>
      </c>
      <c r="C45" t="s">
        <v>290</v>
      </c>
      <c r="D45" s="28">
        <v>12.99</v>
      </c>
      <c r="E45" s="26">
        <v>523.48000000000002</v>
      </c>
      <c r="F45" t="s">
        <v>291</v>
      </c>
      <c r="G45" t="s">
        <v>292</v>
      </c>
      <c r="H45" t="s">
        <v>293</v>
      </c>
      <c r="I45" t="s">
        <v>294</v>
      </c>
      <c r="J45">
        <f t="shared" si="2"/>
        <v>6800.0052000000005</v>
      </c>
      <c r="K45" t="str">
        <f t="shared" si="3"/>
        <v xml:space="preserve">Pablo Perez</v>
      </c>
    </row>
    <row r="46">
      <c r="A46">
        <v>10501</v>
      </c>
      <c r="B46" s="24">
        <v>44882</v>
      </c>
      <c r="C46" t="s">
        <v>295</v>
      </c>
      <c r="D46" s="25">
        <v>9.9499999999999993</v>
      </c>
      <c r="E46" s="26">
        <v>201.00999999999999</v>
      </c>
      <c r="F46" t="s">
        <v>296</v>
      </c>
      <c r="G46" t="s">
        <v>297</v>
      </c>
      <c r="H46" t="s">
        <v>298</v>
      </c>
      <c r="I46" t="s">
        <v>299</v>
      </c>
      <c r="J46">
        <f t="shared" si="2"/>
        <v>2000.0494999999999</v>
      </c>
      <c r="K46" t="str">
        <f t="shared" si="3"/>
        <v xml:space="preserve">Pablo Perez</v>
      </c>
    </row>
    <row r="47">
      <c r="A47">
        <v>10502</v>
      </c>
      <c r="B47" s="24">
        <v>44882</v>
      </c>
      <c r="C47" t="s">
        <v>300</v>
      </c>
      <c r="D47" s="25">
        <v>3.4900000000000002</v>
      </c>
      <c r="E47" s="26">
        <v>630.37</v>
      </c>
      <c r="F47" t="s">
        <v>301</v>
      </c>
      <c r="G47" t="s">
        <v>302</v>
      </c>
      <c r="H47" t="s">
        <v>303</v>
      </c>
      <c r="I47" t="s">
        <v>304</v>
      </c>
      <c r="J47">
        <f t="shared" si="2"/>
        <v>2199.9913000000001</v>
      </c>
      <c r="K47" t="str">
        <f t="shared" si="3"/>
        <v xml:space="preserve">Pablo Perez</v>
      </c>
    </row>
    <row r="48">
      <c r="A48">
        <v>10503</v>
      </c>
      <c r="B48" s="24">
        <v>44882</v>
      </c>
      <c r="C48" t="s">
        <v>305</v>
      </c>
      <c r="D48" s="25">
        <v>2.9500000000000002</v>
      </c>
      <c r="E48" s="26">
        <v>677.97000000000003</v>
      </c>
      <c r="F48" t="s">
        <v>306</v>
      </c>
      <c r="G48" t="s">
        <v>307</v>
      </c>
      <c r="H48" t="s">
        <v>308</v>
      </c>
      <c r="I48" t="s">
        <v>309</v>
      </c>
      <c r="J48">
        <f t="shared" si="2"/>
        <v>2000.0115000000003</v>
      </c>
      <c r="K48" t="str">
        <f t="shared" si="3"/>
        <v xml:space="preserve">Pablo Perez</v>
      </c>
    </row>
    <row r="49">
      <c r="A49">
        <v>10504</v>
      </c>
      <c r="B49" s="24">
        <v>44882</v>
      </c>
      <c r="C49" t="s">
        <v>310</v>
      </c>
      <c r="D49" s="25">
        <v>4.9900000000000002</v>
      </c>
      <c r="E49" s="27">
        <v>200.40000000000001</v>
      </c>
      <c r="F49" t="s">
        <v>311</v>
      </c>
      <c r="G49" t="s">
        <v>312</v>
      </c>
      <c r="H49" t="s">
        <v>313</v>
      </c>
      <c r="I49" t="s">
        <v>314</v>
      </c>
      <c r="J49">
        <f t="shared" si="2"/>
        <v>999.99600000000009</v>
      </c>
      <c r="K49" t="str">
        <f t="shared" si="3"/>
        <v xml:space="preserve">Pablo Perez</v>
      </c>
    </row>
    <row r="50">
      <c r="A50">
        <v>10505</v>
      </c>
      <c r="B50" s="24">
        <v>44883</v>
      </c>
      <c r="C50" t="s">
        <v>315</v>
      </c>
      <c r="D50" s="28">
        <v>12.99</v>
      </c>
      <c r="E50" s="26">
        <v>538.88</v>
      </c>
      <c r="F50" t="s">
        <v>316</v>
      </c>
      <c r="G50" t="s">
        <v>317</v>
      </c>
      <c r="H50" t="s">
        <v>318</v>
      </c>
      <c r="I50" t="s">
        <v>319</v>
      </c>
      <c r="J50">
        <f t="shared" si="2"/>
        <v>7000.0511999999999</v>
      </c>
      <c r="K50" t="str">
        <f t="shared" si="3"/>
        <v xml:space="preserve">Pablo Perez</v>
      </c>
    </row>
    <row r="51">
      <c r="A51">
        <v>10506</v>
      </c>
      <c r="B51" s="24">
        <v>44883</v>
      </c>
      <c r="C51" t="s">
        <v>320</v>
      </c>
      <c r="D51" s="25">
        <v>9.9499999999999993</v>
      </c>
      <c r="E51" s="26">
        <v>201.00999999999999</v>
      </c>
      <c r="F51" t="s">
        <v>321</v>
      </c>
      <c r="G51" t="s">
        <v>322</v>
      </c>
      <c r="H51" t="s">
        <v>323</v>
      </c>
      <c r="I51" t="s">
        <v>324</v>
      </c>
      <c r="J51">
        <f t="shared" si="2"/>
        <v>2000.0494999999999</v>
      </c>
      <c r="K51" t="str">
        <f t="shared" si="3"/>
        <v xml:space="preserve">Pablo Perez</v>
      </c>
    </row>
    <row r="52">
      <c r="A52">
        <v>10507</v>
      </c>
      <c r="B52" s="24">
        <v>44883</v>
      </c>
      <c r="C52" t="s">
        <v>325</v>
      </c>
      <c r="D52" s="25">
        <v>3.4900000000000002</v>
      </c>
      <c r="E52" s="26">
        <v>687.67999999999995</v>
      </c>
      <c r="F52" t="s">
        <v>326</v>
      </c>
      <c r="G52" t="s">
        <v>327</v>
      </c>
      <c r="H52" t="s">
        <v>328</v>
      </c>
      <c r="I52" t="s">
        <v>329</v>
      </c>
      <c r="J52">
        <f t="shared" si="2"/>
        <v>2400.0032000000001</v>
      </c>
      <c r="K52" t="str">
        <f t="shared" si="3"/>
        <v xml:space="preserve">Pablo Perez</v>
      </c>
    </row>
    <row r="53">
      <c r="A53">
        <v>10508</v>
      </c>
      <c r="B53" s="24">
        <v>44883</v>
      </c>
      <c r="C53" t="s">
        <v>330</v>
      </c>
      <c r="D53" s="25">
        <v>2.9500000000000002</v>
      </c>
      <c r="E53" s="26">
        <v>677.97000000000003</v>
      </c>
      <c r="F53" t="s">
        <v>331</v>
      </c>
      <c r="G53" t="s">
        <v>332</v>
      </c>
      <c r="H53" t="s">
        <v>333</v>
      </c>
      <c r="I53" t="s">
        <v>334</v>
      </c>
      <c r="J53">
        <f t="shared" si="2"/>
        <v>2000.0115000000003</v>
      </c>
      <c r="K53" t="str">
        <f t="shared" si="3"/>
        <v xml:space="preserve">Pablo Perez</v>
      </c>
    </row>
    <row r="54">
      <c r="A54">
        <v>10509</v>
      </c>
      <c r="B54" s="24">
        <v>44883</v>
      </c>
      <c r="C54" t="s">
        <v>335</v>
      </c>
      <c r="D54" s="25">
        <v>4.9900000000000002</v>
      </c>
      <c r="E54" s="27">
        <v>200.40000000000001</v>
      </c>
      <c r="F54" t="s">
        <v>336</v>
      </c>
      <c r="G54" t="s">
        <v>337</v>
      </c>
      <c r="H54" t="s">
        <v>338</v>
      </c>
      <c r="I54" t="s">
        <v>339</v>
      </c>
      <c r="J54">
        <f t="shared" si="2"/>
        <v>999.99600000000009</v>
      </c>
      <c r="K54" t="str">
        <f t="shared" si="3"/>
        <v xml:space="preserve">Pablo Perez</v>
      </c>
    </row>
    <row r="55">
      <c r="A55">
        <v>10510</v>
      </c>
      <c r="B55" s="24">
        <v>44884</v>
      </c>
      <c r="C55" t="s">
        <v>340</v>
      </c>
      <c r="D55" s="28">
        <v>12.99</v>
      </c>
      <c r="E55" s="26">
        <v>508.07999999999998</v>
      </c>
      <c r="F55" t="s">
        <v>341</v>
      </c>
      <c r="G55" t="s">
        <v>342</v>
      </c>
      <c r="H55" t="s">
        <v>343</v>
      </c>
      <c r="I55" t="s">
        <v>344</v>
      </c>
      <c r="J55">
        <f t="shared" si="2"/>
        <v>6599.9592000000002</v>
      </c>
      <c r="K55" t="str">
        <f t="shared" si="3"/>
        <v xml:space="preserve">Pablo Perez</v>
      </c>
    </row>
    <row r="56">
      <c r="A56">
        <v>10511</v>
      </c>
      <c r="B56" s="24">
        <v>44884</v>
      </c>
      <c r="C56" t="s">
        <v>345</v>
      </c>
      <c r="D56" s="25">
        <v>9.9499999999999993</v>
      </c>
      <c r="E56" s="26">
        <v>201.00999999999999</v>
      </c>
      <c r="F56" t="s">
        <v>346</v>
      </c>
      <c r="G56" t="s">
        <v>347</v>
      </c>
      <c r="H56" t="s">
        <v>348</v>
      </c>
      <c r="I56" t="s">
        <v>349</v>
      </c>
      <c r="J56">
        <f t="shared" si="2"/>
        <v>2000.0494999999999</v>
      </c>
      <c r="K56" t="str">
        <f t="shared" si="3"/>
        <v xml:space="preserve">Joao Silva</v>
      </c>
    </row>
    <row r="57">
      <c r="A57">
        <v>10512</v>
      </c>
      <c r="B57" s="24">
        <v>44884</v>
      </c>
      <c r="C57" t="s">
        <v>350</v>
      </c>
      <c r="D57" s="25">
        <v>3.4900000000000002</v>
      </c>
      <c r="E57" s="26">
        <v>687.67999999999995</v>
      </c>
      <c r="F57" t="s">
        <v>351</v>
      </c>
      <c r="G57" t="s">
        <v>352</v>
      </c>
      <c r="H57" t="s">
        <v>353</v>
      </c>
      <c r="I57" t="s">
        <v>354</v>
      </c>
      <c r="J57">
        <f t="shared" si="2"/>
        <v>2400.0032000000001</v>
      </c>
      <c r="K57" t="str">
        <f t="shared" si="3"/>
        <v xml:space="preserve">Joao Silva</v>
      </c>
    </row>
    <row r="58">
      <c r="A58">
        <v>10513</v>
      </c>
      <c r="B58" s="24">
        <v>44884</v>
      </c>
      <c r="C58" t="s">
        <v>355</v>
      </c>
      <c r="D58" s="25">
        <v>2.9500000000000002</v>
      </c>
      <c r="E58" s="26">
        <v>677.97000000000003</v>
      </c>
      <c r="F58" t="s">
        <v>356</v>
      </c>
      <c r="G58" t="s">
        <v>357</v>
      </c>
      <c r="H58" t="s">
        <v>358</v>
      </c>
      <c r="I58" t="s">
        <v>359</v>
      </c>
      <c r="J58">
        <f t="shared" si="2"/>
        <v>2000.0115000000003</v>
      </c>
      <c r="K58" t="str">
        <f t="shared" si="3"/>
        <v xml:space="preserve">Joao Silva</v>
      </c>
    </row>
    <row r="59">
      <c r="A59">
        <v>10514</v>
      </c>
      <c r="B59" s="24">
        <v>44884</v>
      </c>
      <c r="C59" t="s">
        <v>360</v>
      </c>
      <c r="D59" s="25">
        <v>4.9900000000000002</v>
      </c>
      <c r="E59" s="27">
        <v>200.40000000000001</v>
      </c>
      <c r="F59" t="s">
        <v>361</v>
      </c>
      <c r="G59" t="s">
        <v>362</v>
      </c>
      <c r="H59" t="s">
        <v>363</v>
      </c>
      <c r="I59" t="s">
        <v>364</v>
      </c>
      <c r="J59">
        <f t="shared" si="2"/>
        <v>999.99600000000009</v>
      </c>
      <c r="K59" t="str">
        <f t="shared" si="3"/>
        <v xml:space="preserve">Joao Silva</v>
      </c>
    </row>
    <row r="60">
      <c r="A60">
        <v>10515</v>
      </c>
      <c r="B60" s="24">
        <v>44885</v>
      </c>
      <c r="C60" t="s">
        <v>365</v>
      </c>
      <c r="D60" s="28">
        <v>12.99</v>
      </c>
      <c r="E60" s="26">
        <v>477.29000000000002</v>
      </c>
      <c r="F60" t="s">
        <v>366</v>
      </c>
      <c r="G60" t="s">
        <v>367</v>
      </c>
      <c r="H60" t="s">
        <v>368</v>
      </c>
      <c r="I60" t="s">
        <v>369</v>
      </c>
      <c r="J60">
        <f t="shared" si="2"/>
        <v>6199.9971000000005</v>
      </c>
      <c r="K60" t="str">
        <f t="shared" si="3"/>
        <v xml:space="preserve">Joao Silva</v>
      </c>
    </row>
    <row r="61">
      <c r="A61">
        <v>10516</v>
      </c>
      <c r="B61" s="24">
        <v>44885</v>
      </c>
      <c r="C61" t="s">
        <v>370</v>
      </c>
      <c r="D61" s="25">
        <v>9.9499999999999993</v>
      </c>
      <c r="E61" s="26">
        <v>201.00999999999999</v>
      </c>
      <c r="F61" t="s">
        <v>371</v>
      </c>
      <c r="G61" t="s">
        <v>372</v>
      </c>
      <c r="H61" t="s">
        <v>373</v>
      </c>
      <c r="I61" t="s">
        <v>374</v>
      </c>
      <c r="J61">
        <f t="shared" si="2"/>
        <v>2000.0494999999999</v>
      </c>
      <c r="K61" t="str">
        <f t="shared" si="3"/>
        <v xml:space="preserve">Joao Silva</v>
      </c>
    </row>
    <row r="62">
      <c r="A62">
        <v>10483</v>
      </c>
      <c r="B62" s="24">
        <v>44878</v>
      </c>
      <c r="C62" t="s">
        <v>375</v>
      </c>
      <c r="D62" s="25">
        <v>2.9500000000000002</v>
      </c>
      <c r="E62" s="26">
        <v>677.97000000000003</v>
      </c>
      <c r="F62" t="s">
        <v>376</v>
      </c>
      <c r="G62" t="s">
        <v>377</v>
      </c>
      <c r="H62" t="s">
        <v>378</v>
      </c>
      <c r="I62" t="s">
        <v>379</v>
      </c>
      <c r="J62">
        <f t="shared" si="2"/>
        <v>2000.0115000000003</v>
      </c>
      <c r="K62" t="str">
        <f t="shared" si="3"/>
        <v xml:space="preserve">Joao Silva</v>
      </c>
    </row>
    <row r="63">
      <c r="A63">
        <v>10484</v>
      </c>
      <c r="B63" s="24">
        <v>44878</v>
      </c>
      <c r="C63" t="s">
        <v>380</v>
      </c>
      <c r="D63" s="25">
        <v>4.9900000000000002</v>
      </c>
      <c r="E63" s="27">
        <v>200.40000000000001</v>
      </c>
      <c r="F63" t="s">
        <v>381</v>
      </c>
      <c r="G63" t="s">
        <v>382</v>
      </c>
      <c r="H63" t="s">
        <v>383</v>
      </c>
      <c r="I63" t="s">
        <v>384</v>
      </c>
      <c r="J63">
        <f t="shared" si="2"/>
        <v>999.99600000000009</v>
      </c>
      <c r="K63" t="str">
        <f t="shared" si="3"/>
        <v xml:space="preserve">Joao Silva</v>
      </c>
    </row>
    <row r="64">
      <c r="A64">
        <v>10485</v>
      </c>
      <c r="B64" s="24">
        <v>44879</v>
      </c>
      <c r="C64" t="s">
        <v>385</v>
      </c>
      <c r="D64" s="28">
        <v>12.99</v>
      </c>
      <c r="E64" s="26">
        <v>523.48000000000002</v>
      </c>
      <c r="F64" t="s">
        <v>386</v>
      </c>
      <c r="G64" t="s">
        <v>387</v>
      </c>
      <c r="H64" t="s">
        <v>388</v>
      </c>
      <c r="I64" t="s">
        <v>389</v>
      </c>
      <c r="J64">
        <f t="shared" si="2"/>
        <v>6800.0052000000005</v>
      </c>
      <c r="K64" t="str">
        <f t="shared" si="3"/>
        <v xml:space="preserve">Joao Silva</v>
      </c>
    </row>
    <row r="65">
      <c r="A65">
        <v>10520</v>
      </c>
      <c r="B65" s="24">
        <v>44886</v>
      </c>
      <c r="C65" t="s">
        <v>390</v>
      </c>
      <c r="D65" s="28">
        <v>12.99</v>
      </c>
      <c r="E65" s="26">
        <v>492.69</v>
      </c>
      <c r="F65" t="s">
        <v>391</v>
      </c>
      <c r="G65" t="s">
        <v>392</v>
      </c>
      <c r="H65" t="s">
        <v>393</v>
      </c>
      <c r="I65" t="s">
        <v>394</v>
      </c>
      <c r="J65">
        <f t="shared" si="2"/>
        <v>6400.0430999999999</v>
      </c>
      <c r="K65" t="str">
        <f t="shared" si="3"/>
        <v xml:space="preserve">Remy Monet</v>
      </c>
    </row>
    <row r="66">
      <c r="A66">
        <v>10521</v>
      </c>
      <c r="B66" s="24">
        <v>44886</v>
      </c>
      <c r="C66" t="s">
        <v>395</v>
      </c>
      <c r="D66" s="25">
        <v>9.9499999999999993</v>
      </c>
      <c r="E66" s="26">
        <v>201.00999999999999</v>
      </c>
      <c r="F66" t="s">
        <v>396</v>
      </c>
      <c r="G66" t="s">
        <v>397</v>
      </c>
      <c r="H66" t="s">
        <v>398</v>
      </c>
      <c r="I66" t="s">
        <v>399</v>
      </c>
      <c r="J66">
        <f t="shared" si="2"/>
        <v>2000.0494999999999</v>
      </c>
      <c r="K66" t="str">
        <f t="shared" si="3"/>
        <v xml:space="preserve">Remy Monet</v>
      </c>
    </row>
    <row r="67">
      <c r="A67">
        <v>10522</v>
      </c>
      <c r="B67" s="24">
        <v>44886</v>
      </c>
      <c r="C67" t="s">
        <v>400</v>
      </c>
      <c r="D67" s="25">
        <v>3.4900000000000002</v>
      </c>
      <c r="E67" s="26">
        <v>687.67999999999995</v>
      </c>
      <c r="F67" t="s">
        <v>401</v>
      </c>
      <c r="G67" t="s">
        <v>402</v>
      </c>
      <c r="H67" t="s">
        <v>403</v>
      </c>
      <c r="I67" t="s">
        <v>404</v>
      </c>
      <c r="J67">
        <f t="shared" si="2"/>
        <v>2400.0032000000001</v>
      </c>
      <c r="K67" t="str">
        <f t="shared" si="3"/>
        <v xml:space="preserve">Remy Monet</v>
      </c>
    </row>
    <row r="68">
      <c r="A68">
        <v>10523</v>
      </c>
      <c r="B68" s="24">
        <v>44886</v>
      </c>
      <c r="C68" t="s">
        <v>405</v>
      </c>
      <c r="D68" s="25">
        <v>2.9500000000000002</v>
      </c>
      <c r="E68" s="26">
        <v>745.75999999999999</v>
      </c>
      <c r="F68" t="s">
        <v>406</v>
      </c>
      <c r="G68" t="s">
        <v>407</v>
      </c>
      <c r="H68" t="s">
        <v>408</v>
      </c>
      <c r="I68" t="s">
        <v>409</v>
      </c>
      <c r="J68">
        <f t="shared" si="2"/>
        <v>2199.9920000000002</v>
      </c>
      <c r="K68" t="str">
        <f t="shared" si="3"/>
        <v xml:space="preserve">Remy Monet</v>
      </c>
    </row>
    <row r="69">
      <c r="A69">
        <v>10524</v>
      </c>
      <c r="B69" s="24">
        <v>44886</v>
      </c>
      <c r="C69" t="s">
        <v>410</v>
      </c>
      <c r="D69" s="25">
        <v>4.9900000000000002</v>
      </c>
      <c r="E69" s="27">
        <v>200.40000000000001</v>
      </c>
      <c r="F69" t="s">
        <v>411</v>
      </c>
      <c r="G69" t="s">
        <v>412</v>
      </c>
      <c r="H69" t="s">
        <v>413</v>
      </c>
      <c r="I69" t="s">
        <v>414</v>
      </c>
      <c r="J69">
        <f t="shared" si="2"/>
        <v>999.99600000000009</v>
      </c>
      <c r="K69" t="str">
        <f t="shared" si="3"/>
        <v xml:space="preserve">Remy Monet</v>
      </c>
    </row>
    <row r="70">
      <c r="A70">
        <v>10525</v>
      </c>
      <c r="B70" s="24">
        <v>44887</v>
      </c>
      <c r="C70" t="s">
        <v>415</v>
      </c>
      <c r="D70" s="28">
        <v>12.99</v>
      </c>
      <c r="E70" s="26">
        <v>461.88999999999999</v>
      </c>
      <c r="F70" t="s">
        <v>416</v>
      </c>
      <c r="G70" t="s">
        <v>417</v>
      </c>
      <c r="H70" t="s">
        <v>418</v>
      </c>
      <c r="I70" t="s">
        <v>419</v>
      </c>
      <c r="J70">
        <f t="shared" si="2"/>
        <v>5999.9511000000002</v>
      </c>
      <c r="K70" t="str">
        <f t="shared" si="3"/>
        <v xml:space="preserve">Remy Monet</v>
      </c>
    </row>
    <row r="71">
      <c r="A71">
        <v>10526</v>
      </c>
      <c r="B71" s="24">
        <v>44887</v>
      </c>
      <c r="C71" t="s">
        <v>420</v>
      </c>
      <c r="D71" s="25">
        <v>9.9499999999999993</v>
      </c>
      <c r="E71" s="26">
        <v>201.00999999999999</v>
      </c>
      <c r="F71" t="s">
        <v>421</v>
      </c>
      <c r="G71" t="s">
        <v>422</v>
      </c>
      <c r="H71" t="s">
        <v>423</v>
      </c>
      <c r="I71" t="s">
        <v>424</v>
      </c>
      <c r="J71">
        <f t="shared" si="2"/>
        <v>2000.0494999999999</v>
      </c>
      <c r="K71" t="str">
        <f t="shared" si="3"/>
        <v xml:space="preserve">Remy Monet</v>
      </c>
    </row>
    <row r="72">
      <c r="A72">
        <v>10527</v>
      </c>
      <c r="B72" s="24">
        <v>44887</v>
      </c>
      <c r="C72" t="s">
        <v>425</v>
      </c>
      <c r="D72" s="25">
        <v>3.4900000000000002</v>
      </c>
      <c r="E72" s="26">
        <v>687.67999999999995</v>
      </c>
      <c r="F72" t="s">
        <v>426</v>
      </c>
      <c r="G72" t="s">
        <v>427</v>
      </c>
      <c r="H72" t="s">
        <v>428</v>
      </c>
      <c r="I72" t="s">
        <v>429</v>
      </c>
      <c r="J72">
        <f t="shared" si="2"/>
        <v>2400.0032000000001</v>
      </c>
      <c r="K72" t="str">
        <f t="shared" si="3"/>
        <v xml:space="preserve">Remy Monet</v>
      </c>
    </row>
    <row r="73">
      <c r="A73">
        <v>10528</v>
      </c>
      <c r="B73" s="24">
        <v>44887</v>
      </c>
      <c r="C73" t="s">
        <v>430</v>
      </c>
      <c r="D73" s="25">
        <v>2.9500000000000002</v>
      </c>
      <c r="E73" s="26">
        <v>745.75999999999999</v>
      </c>
      <c r="F73" t="s">
        <v>431</v>
      </c>
      <c r="G73" t="s">
        <v>432</v>
      </c>
      <c r="H73" t="s">
        <v>433</v>
      </c>
      <c r="I73" t="s">
        <v>434</v>
      </c>
      <c r="J73">
        <f t="shared" si="2"/>
        <v>2199.9920000000002</v>
      </c>
      <c r="K73" t="str">
        <f t="shared" si="3"/>
        <v xml:space="preserve">Remy Monet</v>
      </c>
    </row>
    <row r="74">
      <c r="A74">
        <v>10529</v>
      </c>
      <c r="B74" s="24">
        <v>44887</v>
      </c>
      <c r="C74" t="s">
        <v>435</v>
      </c>
      <c r="D74" s="25">
        <v>4.9900000000000002</v>
      </c>
      <c r="E74" s="27">
        <v>200.40000000000001</v>
      </c>
      <c r="F74" t="s">
        <v>436</v>
      </c>
      <c r="G74" t="s">
        <v>437</v>
      </c>
      <c r="H74" t="s">
        <v>438</v>
      </c>
      <c r="I74" t="s">
        <v>439</v>
      </c>
      <c r="J74">
        <f t="shared" ref="J74:J99" si="4">D74*E74</f>
        <v>999.99600000000009</v>
      </c>
      <c r="K74" t="str">
        <f t="shared" ref="K74:K99" si="5">TRIM(H74)</f>
        <v xml:space="preserve">Remy Monet</v>
      </c>
    </row>
    <row r="75">
      <c r="A75">
        <v>10530</v>
      </c>
      <c r="B75" s="24">
        <v>44888</v>
      </c>
      <c r="C75" t="s">
        <v>440</v>
      </c>
      <c r="D75" s="28">
        <v>12.99</v>
      </c>
      <c r="E75" s="26">
        <v>477.29000000000002</v>
      </c>
      <c r="F75" t="s">
        <v>441</v>
      </c>
      <c r="G75" t="s">
        <v>442</v>
      </c>
      <c r="H75" t="s">
        <v>443</v>
      </c>
      <c r="I75" t="s">
        <v>444</v>
      </c>
      <c r="J75">
        <f t="shared" si="4"/>
        <v>6199.9971000000005</v>
      </c>
      <c r="K75" t="str">
        <f t="shared" si="5"/>
        <v xml:space="preserve">Remy Monet</v>
      </c>
    </row>
    <row r="76">
      <c r="A76">
        <v>10531</v>
      </c>
      <c r="B76" s="24">
        <v>44888</v>
      </c>
      <c r="C76" t="s">
        <v>445</v>
      </c>
      <c r="D76" s="25">
        <v>9.9499999999999993</v>
      </c>
      <c r="E76" s="26">
        <v>201.00999999999999</v>
      </c>
      <c r="F76" t="s">
        <v>446</v>
      </c>
      <c r="G76" t="s">
        <v>447</v>
      </c>
      <c r="H76" t="s">
        <v>448</v>
      </c>
      <c r="I76" t="s">
        <v>449</v>
      </c>
      <c r="J76">
        <f t="shared" si="4"/>
        <v>2000.0494999999999</v>
      </c>
      <c r="K76" t="str">
        <f t="shared" si="5"/>
        <v xml:space="preserve">Remy Monet</v>
      </c>
    </row>
    <row r="77">
      <c r="A77">
        <v>10532</v>
      </c>
      <c r="B77" s="24">
        <v>44888</v>
      </c>
      <c r="C77" t="s">
        <v>450</v>
      </c>
      <c r="D77" s="25">
        <v>3.4900000000000002</v>
      </c>
      <c r="E77" s="26">
        <v>687.67999999999995</v>
      </c>
      <c r="F77" t="s">
        <v>451</v>
      </c>
      <c r="G77" t="s">
        <v>452</v>
      </c>
      <c r="H77" t="s">
        <v>453</v>
      </c>
      <c r="I77" t="s">
        <v>454</v>
      </c>
      <c r="J77">
        <f t="shared" si="4"/>
        <v>2400.0032000000001</v>
      </c>
      <c r="K77" t="str">
        <f t="shared" si="5"/>
        <v xml:space="preserve">Joao Silva</v>
      </c>
    </row>
    <row r="78">
      <c r="A78">
        <v>10533</v>
      </c>
      <c r="B78" s="24">
        <v>44888</v>
      </c>
      <c r="C78" t="s">
        <v>455</v>
      </c>
      <c r="D78" s="25">
        <v>2.9500000000000002</v>
      </c>
      <c r="E78" s="26">
        <v>745.75999999999999</v>
      </c>
      <c r="F78" t="s">
        <v>456</v>
      </c>
      <c r="G78" t="s">
        <v>457</v>
      </c>
      <c r="H78" t="s">
        <v>458</v>
      </c>
      <c r="I78" t="s">
        <v>459</v>
      </c>
      <c r="J78">
        <f t="shared" si="4"/>
        <v>2199.9920000000002</v>
      </c>
      <c r="K78" t="str">
        <f t="shared" si="5"/>
        <v xml:space="preserve">Joao Silva</v>
      </c>
    </row>
    <row r="79">
      <c r="A79">
        <v>10534</v>
      </c>
      <c r="B79" s="24">
        <v>44888</v>
      </c>
      <c r="C79" t="s">
        <v>460</v>
      </c>
      <c r="D79" s="25">
        <v>4.9900000000000002</v>
      </c>
      <c r="E79" s="27">
        <v>200.40000000000001</v>
      </c>
      <c r="F79" t="s">
        <v>461</v>
      </c>
      <c r="G79" t="s">
        <v>462</v>
      </c>
      <c r="H79" t="s">
        <v>463</v>
      </c>
      <c r="I79" t="s">
        <v>464</v>
      </c>
      <c r="J79">
        <f t="shared" si="4"/>
        <v>999.99600000000009</v>
      </c>
      <c r="K79" t="str">
        <f t="shared" si="5"/>
        <v xml:space="preserve">Pablo Perez</v>
      </c>
    </row>
    <row r="80">
      <c r="A80">
        <v>10535</v>
      </c>
      <c r="B80" s="24">
        <v>44889</v>
      </c>
      <c r="C80" t="s">
        <v>465</v>
      </c>
      <c r="D80" s="28">
        <v>12.99</v>
      </c>
      <c r="E80" s="26">
        <v>477.29000000000002</v>
      </c>
      <c r="F80" t="s">
        <v>466</v>
      </c>
      <c r="G80" t="s">
        <v>467</v>
      </c>
      <c r="H80" t="s">
        <v>468</v>
      </c>
      <c r="I80" t="s">
        <v>469</v>
      </c>
      <c r="J80">
        <f t="shared" si="4"/>
        <v>6199.9971000000005</v>
      </c>
      <c r="K80" t="str">
        <f t="shared" si="5"/>
        <v xml:space="preserve">Pablo Perez</v>
      </c>
    </row>
    <row r="81">
      <c r="A81">
        <v>10536</v>
      </c>
      <c r="B81" s="24">
        <v>44889</v>
      </c>
      <c r="C81" t="s">
        <v>470</v>
      </c>
      <c r="D81" s="25">
        <v>9.9499999999999993</v>
      </c>
      <c r="E81" s="26">
        <v>201.00999999999999</v>
      </c>
      <c r="F81" t="s">
        <v>471</v>
      </c>
      <c r="G81" t="s">
        <v>472</v>
      </c>
      <c r="H81" t="s">
        <v>473</v>
      </c>
      <c r="I81" t="s">
        <v>474</v>
      </c>
      <c r="J81">
        <f t="shared" si="4"/>
        <v>2000.0494999999999</v>
      </c>
      <c r="K81" t="str">
        <f t="shared" si="5"/>
        <v xml:space="preserve">Pablo Perez</v>
      </c>
    </row>
    <row r="82">
      <c r="A82">
        <v>10540</v>
      </c>
      <c r="B82" s="24">
        <v>44890</v>
      </c>
      <c r="C82" t="s">
        <v>475</v>
      </c>
      <c r="D82" s="28">
        <v>12.99</v>
      </c>
      <c r="E82" s="26">
        <v>461.88999999999999</v>
      </c>
      <c r="F82" t="s">
        <v>476</v>
      </c>
      <c r="G82" t="s">
        <v>477</v>
      </c>
      <c r="H82" t="s">
        <v>478</v>
      </c>
      <c r="I82" t="s">
        <v>479</v>
      </c>
      <c r="J82">
        <f t="shared" si="4"/>
        <v>5999.9511000000002</v>
      </c>
      <c r="K82" t="str">
        <f t="shared" si="5"/>
        <v xml:space="preserve">Pablo Perez</v>
      </c>
    </row>
    <row r="83">
      <c r="A83">
        <v>10541</v>
      </c>
      <c r="B83" s="24">
        <v>44890</v>
      </c>
      <c r="C83" t="s">
        <v>480</v>
      </c>
      <c r="D83" s="25">
        <v>9.9499999999999993</v>
      </c>
      <c r="E83" s="26">
        <v>201.00999999999999</v>
      </c>
      <c r="F83" t="s">
        <v>481</v>
      </c>
      <c r="G83" t="s">
        <v>482</v>
      </c>
      <c r="H83" t="s">
        <v>483</v>
      </c>
      <c r="I83" t="s">
        <v>484</v>
      </c>
      <c r="J83">
        <f t="shared" si="4"/>
        <v>2000.0494999999999</v>
      </c>
      <c r="K83" t="str">
        <f t="shared" si="5"/>
        <v xml:space="preserve">Tom Jackson</v>
      </c>
    </row>
    <row r="84">
      <c r="A84">
        <v>10542</v>
      </c>
      <c r="B84" s="24">
        <v>44890</v>
      </c>
      <c r="C84" t="s">
        <v>485</v>
      </c>
      <c r="D84" s="25">
        <v>3.4900000000000002</v>
      </c>
      <c r="E84" s="26">
        <v>630.37</v>
      </c>
      <c r="F84" t="s">
        <v>486</v>
      </c>
      <c r="G84" t="s">
        <v>487</v>
      </c>
      <c r="H84" t="s">
        <v>488</v>
      </c>
      <c r="I84" t="s">
        <v>489</v>
      </c>
      <c r="J84">
        <f t="shared" si="4"/>
        <v>2199.9913000000001</v>
      </c>
      <c r="K84" t="str">
        <f t="shared" si="5"/>
        <v xml:space="preserve">Tom Jackson</v>
      </c>
    </row>
    <row r="85">
      <c r="A85">
        <v>10543</v>
      </c>
      <c r="B85" s="24">
        <v>44890</v>
      </c>
      <c r="C85" t="s">
        <v>490</v>
      </c>
      <c r="D85" s="25">
        <v>2.9500000000000002</v>
      </c>
      <c r="E85" s="26">
        <v>745.75999999999999</v>
      </c>
      <c r="F85" t="s">
        <v>491</v>
      </c>
      <c r="G85" t="s">
        <v>492</v>
      </c>
      <c r="H85" t="s">
        <v>493</v>
      </c>
      <c r="I85" t="s">
        <v>494</v>
      </c>
      <c r="J85">
        <f t="shared" si="4"/>
        <v>2199.9920000000002</v>
      </c>
      <c r="K85" t="str">
        <f t="shared" si="5"/>
        <v xml:space="preserve">Tom Jackson</v>
      </c>
    </row>
    <row r="86">
      <c r="A86">
        <v>10544</v>
      </c>
      <c r="B86" s="24">
        <v>44890</v>
      </c>
      <c r="C86" t="s">
        <v>495</v>
      </c>
      <c r="D86" s="25">
        <v>4.9900000000000002</v>
      </c>
      <c r="E86" s="27">
        <v>200.40000000000001</v>
      </c>
      <c r="F86" t="s">
        <v>496</v>
      </c>
      <c r="G86" t="s">
        <v>497</v>
      </c>
      <c r="H86" t="s">
        <v>498</v>
      </c>
      <c r="I86" t="s">
        <v>499</v>
      </c>
      <c r="J86">
        <f t="shared" si="4"/>
        <v>999.99600000000009</v>
      </c>
      <c r="K86" t="str">
        <f t="shared" si="5"/>
        <v xml:space="preserve">Tom Jackson</v>
      </c>
    </row>
    <row r="87">
      <c r="A87">
        <v>10545</v>
      </c>
      <c r="B87" s="24">
        <v>44891</v>
      </c>
      <c r="C87" t="s">
        <v>500</v>
      </c>
      <c r="D87" s="28">
        <v>12.99</v>
      </c>
      <c r="E87" s="27">
        <v>446.5</v>
      </c>
      <c r="F87" t="s">
        <v>501</v>
      </c>
      <c r="G87" t="s">
        <v>502</v>
      </c>
      <c r="H87" t="s">
        <v>503</v>
      </c>
      <c r="I87" t="s">
        <v>504</v>
      </c>
      <c r="J87">
        <f t="shared" si="4"/>
        <v>5800.0349999999999</v>
      </c>
      <c r="K87" t="str">
        <f t="shared" si="5"/>
        <v xml:space="preserve">Tom Jackson</v>
      </c>
    </row>
    <row r="88">
      <c r="A88">
        <v>10546</v>
      </c>
      <c r="B88" s="24">
        <v>44891</v>
      </c>
      <c r="C88" t="s">
        <v>505</v>
      </c>
      <c r="D88" s="25">
        <v>9.9499999999999993</v>
      </c>
      <c r="E88" s="26">
        <v>201.00999999999999</v>
      </c>
      <c r="F88" t="s">
        <v>506</v>
      </c>
      <c r="G88" t="s">
        <v>507</v>
      </c>
      <c r="H88" t="s">
        <v>508</v>
      </c>
      <c r="I88" t="s">
        <v>509</v>
      </c>
      <c r="J88">
        <f t="shared" si="4"/>
        <v>2000.0494999999999</v>
      </c>
      <c r="K88" t="str">
        <f t="shared" si="5"/>
        <v xml:space="preserve">Tom Jackson</v>
      </c>
    </row>
    <row r="89">
      <c r="A89">
        <v>10547</v>
      </c>
      <c r="B89" s="24">
        <v>44891</v>
      </c>
      <c r="C89" t="s">
        <v>510</v>
      </c>
      <c r="D89" s="25">
        <v>3.4900000000000002</v>
      </c>
      <c r="E89" s="26">
        <v>630.37</v>
      </c>
      <c r="F89" t="s">
        <v>511</v>
      </c>
      <c r="G89" t="s">
        <v>512</v>
      </c>
      <c r="H89" t="s">
        <v>513</v>
      </c>
      <c r="I89" t="s">
        <v>514</v>
      </c>
      <c r="J89">
        <f t="shared" si="4"/>
        <v>2199.9913000000001</v>
      </c>
      <c r="K89" t="str">
        <f t="shared" si="5"/>
        <v xml:space="preserve">Tom Jackson</v>
      </c>
    </row>
    <row r="90">
      <c r="A90">
        <v>10548</v>
      </c>
      <c r="B90" s="24">
        <v>44891</v>
      </c>
      <c r="C90" t="s">
        <v>515</v>
      </c>
      <c r="D90" s="25">
        <v>2.9500000000000002</v>
      </c>
      <c r="E90" s="26">
        <v>745.75999999999999</v>
      </c>
      <c r="F90" t="s">
        <v>516</v>
      </c>
      <c r="G90" t="s">
        <v>517</v>
      </c>
      <c r="H90" t="s">
        <v>518</v>
      </c>
      <c r="I90" t="s">
        <v>519</v>
      </c>
      <c r="J90">
        <f t="shared" si="4"/>
        <v>2199.9920000000002</v>
      </c>
      <c r="K90" t="str">
        <f t="shared" si="5"/>
        <v xml:space="preserve">Tom Jackson</v>
      </c>
    </row>
    <row r="91">
      <c r="A91">
        <v>10549</v>
      </c>
      <c r="B91" s="24">
        <v>44891</v>
      </c>
      <c r="C91" t="s">
        <v>520</v>
      </c>
      <c r="D91" s="25">
        <v>4.9900000000000002</v>
      </c>
      <c r="E91" s="27">
        <v>200.40000000000001</v>
      </c>
      <c r="F91" t="s">
        <v>521</v>
      </c>
      <c r="G91" t="s">
        <v>522</v>
      </c>
      <c r="H91" t="s">
        <v>523</v>
      </c>
      <c r="I91" t="s">
        <v>524</v>
      </c>
      <c r="J91">
        <f t="shared" si="4"/>
        <v>999.99600000000009</v>
      </c>
      <c r="K91" t="str">
        <f t="shared" si="5"/>
        <v xml:space="preserve">Tom Jackson</v>
      </c>
    </row>
    <row r="92">
      <c r="A92">
        <v>10550</v>
      </c>
      <c r="B92" s="24">
        <v>44892</v>
      </c>
      <c r="C92" t="s">
        <v>525</v>
      </c>
      <c r="D92" s="28">
        <v>12.99</v>
      </c>
      <c r="E92" s="26">
        <v>461.88999999999999</v>
      </c>
      <c r="F92" t="s">
        <v>526</v>
      </c>
      <c r="G92" t="s">
        <v>527</v>
      </c>
      <c r="H92" t="s">
        <v>528</v>
      </c>
      <c r="I92" t="s">
        <v>529</v>
      </c>
      <c r="J92">
        <f t="shared" si="4"/>
        <v>5999.9511000000002</v>
      </c>
      <c r="K92" t="str">
        <f t="shared" si="5"/>
        <v xml:space="preserve">Tom Jackson</v>
      </c>
    </row>
    <row r="93">
      <c r="A93">
        <v>10551</v>
      </c>
      <c r="B93" s="24">
        <v>44892</v>
      </c>
      <c r="C93" t="s">
        <v>530</v>
      </c>
      <c r="D93" s="25">
        <v>9.9499999999999993</v>
      </c>
      <c r="E93" s="26">
        <v>201.00999999999999</v>
      </c>
      <c r="F93" t="s">
        <v>531</v>
      </c>
      <c r="G93" t="s">
        <v>532</v>
      </c>
      <c r="H93" t="s">
        <v>533</v>
      </c>
      <c r="I93" t="s">
        <v>534</v>
      </c>
      <c r="J93">
        <f t="shared" si="4"/>
        <v>2000.0494999999999</v>
      </c>
      <c r="K93" t="str">
        <f t="shared" si="5"/>
        <v xml:space="preserve">Tom Jackson</v>
      </c>
    </row>
    <row r="94">
      <c r="A94">
        <v>10552</v>
      </c>
      <c r="B94" s="24">
        <v>44892</v>
      </c>
      <c r="C94" t="s">
        <v>535</v>
      </c>
      <c r="D94" s="25">
        <v>3.4900000000000002</v>
      </c>
      <c r="E94" s="26">
        <v>630.37</v>
      </c>
      <c r="F94" t="s">
        <v>536</v>
      </c>
      <c r="G94" t="s">
        <v>537</v>
      </c>
      <c r="H94" t="s">
        <v>538</v>
      </c>
      <c r="I94" t="s">
        <v>539</v>
      </c>
      <c r="J94">
        <f t="shared" si="4"/>
        <v>2199.9913000000001</v>
      </c>
      <c r="K94" t="str">
        <f t="shared" si="5"/>
        <v xml:space="preserve">Tom Jackson</v>
      </c>
    </row>
    <row r="95">
      <c r="A95">
        <v>10553</v>
      </c>
      <c r="B95" s="24">
        <v>44892</v>
      </c>
      <c r="C95" t="s">
        <v>540</v>
      </c>
      <c r="D95" s="25">
        <v>2.9500000000000002</v>
      </c>
      <c r="E95" s="26">
        <v>745.75999999999999</v>
      </c>
      <c r="F95" t="s">
        <v>541</v>
      </c>
      <c r="G95" t="s">
        <v>542</v>
      </c>
      <c r="H95" t="s">
        <v>543</v>
      </c>
      <c r="I95" t="s">
        <v>544</v>
      </c>
      <c r="J95">
        <f t="shared" si="4"/>
        <v>2199.9920000000002</v>
      </c>
      <c r="K95" t="str">
        <f t="shared" si="5"/>
        <v xml:space="preserve">Tom Jackson</v>
      </c>
    </row>
    <row r="96">
      <c r="A96">
        <v>10554</v>
      </c>
      <c r="B96" s="24">
        <v>44892</v>
      </c>
      <c r="C96" t="s">
        <v>545</v>
      </c>
      <c r="D96" s="25">
        <v>4.9900000000000002</v>
      </c>
      <c r="E96" s="27">
        <v>200.40000000000001</v>
      </c>
      <c r="F96" t="s">
        <v>546</v>
      </c>
      <c r="G96" t="s">
        <v>547</v>
      </c>
      <c r="H96" t="s">
        <v>548</v>
      </c>
      <c r="I96" t="s">
        <v>549</v>
      </c>
      <c r="J96">
        <f t="shared" si="4"/>
        <v>999.99600000000009</v>
      </c>
      <c r="K96" t="str">
        <f t="shared" si="5"/>
        <v xml:space="preserve">Tom Jackson</v>
      </c>
    </row>
    <row r="97">
      <c r="A97">
        <v>10555</v>
      </c>
      <c r="B97" s="24">
        <v>44893</v>
      </c>
      <c r="C97" t="s">
        <v>550</v>
      </c>
      <c r="D97" s="28">
        <v>12.99</v>
      </c>
      <c r="E97" s="26">
        <v>477.29000000000002</v>
      </c>
      <c r="F97" t="s">
        <v>551</v>
      </c>
      <c r="G97" t="s">
        <v>552</v>
      </c>
      <c r="H97" t="s">
        <v>553</v>
      </c>
      <c r="I97" t="s">
        <v>554</v>
      </c>
      <c r="J97">
        <f t="shared" si="4"/>
        <v>6199.9971000000005</v>
      </c>
      <c r="K97" t="str">
        <f t="shared" si="5"/>
        <v xml:space="preserve">Tom Jackson</v>
      </c>
    </row>
    <row r="98">
      <c r="A98">
        <v>10556</v>
      </c>
      <c r="B98" s="24">
        <v>44893</v>
      </c>
      <c r="C98" t="s">
        <v>555</v>
      </c>
      <c r="D98" s="25">
        <v>9.9499999999999993</v>
      </c>
      <c r="E98" s="26">
        <v>201.00999999999999</v>
      </c>
      <c r="F98" t="s">
        <v>556</v>
      </c>
      <c r="G98" t="s">
        <v>557</v>
      </c>
      <c r="H98" t="s">
        <v>558</v>
      </c>
      <c r="I98" t="s">
        <v>559</v>
      </c>
      <c r="J98">
        <f t="shared" si="4"/>
        <v>2000.0494999999999</v>
      </c>
      <c r="K98" t="str">
        <f t="shared" si="5"/>
        <v xml:space="preserve">Tom Jackson</v>
      </c>
    </row>
    <row r="99">
      <c r="A99">
        <v>10557</v>
      </c>
      <c r="B99" s="24">
        <v>44893</v>
      </c>
      <c r="C99" t="s">
        <v>560</v>
      </c>
      <c r="D99" s="25">
        <v>3.4900000000000002</v>
      </c>
      <c r="E99" s="26">
        <v>630.37</v>
      </c>
      <c r="F99" t="s">
        <v>561</v>
      </c>
      <c r="G99" t="s">
        <v>562</v>
      </c>
      <c r="H99" t="s">
        <v>563</v>
      </c>
      <c r="I99" t="s">
        <v>564</v>
      </c>
      <c r="J99">
        <f t="shared" si="4"/>
        <v>2199.9913000000001</v>
      </c>
      <c r="K99" t="str">
        <f t="shared" si="5"/>
        <v xml:space="preserve">Tom Jackson</v>
      </c>
    </row>
    <row r="100">
      <c r="A100">
        <v>10558</v>
      </c>
      <c r="B100" s="24">
        <v>44893</v>
      </c>
      <c r="C100" t="s">
        <v>565</v>
      </c>
      <c r="D100" s="25">
        <v>2.9500000000000002</v>
      </c>
      <c r="E100" s="26">
        <v>677.97000000000003</v>
      </c>
      <c r="F100" t="s">
        <v>566</v>
      </c>
      <c r="G100" t="s">
        <v>567</v>
      </c>
      <c r="H100" t="s">
        <v>568</v>
      </c>
      <c r="I100" t="s">
        <v>569</v>
      </c>
      <c r="J100">
        <f t="shared" ref="J100:J163" si="6">D100*E100</f>
        <v>2000.0115000000003</v>
      </c>
      <c r="K100" t="str">
        <f t="shared" ref="K100:K163" si="7">TRIM(H100)</f>
        <v xml:space="preserve">Tom Jackson</v>
      </c>
    </row>
    <row r="101">
      <c r="A101">
        <v>10559</v>
      </c>
      <c r="B101" s="24">
        <v>44893</v>
      </c>
      <c r="C101" t="s">
        <v>570</v>
      </c>
      <c r="D101" s="25">
        <v>4.9900000000000002</v>
      </c>
      <c r="E101" s="27">
        <v>200.40000000000001</v>
      </c>
      <c r="F101" t="s">
        <v>571</v>
      </c>
      <c r="G101" t="s">
        <v>572</v>
      </c>
      <c r="H101" t="s">
        <v>573</v>
      </c>
      <c r="I101" t="s">
        <v>574</v>
      </c>
      <c r="J101">
        <f t="shared" si="6"/>
        <v>999.99600000000009</v>
      </c>
      <c r="K101" t="str">
        <f t="shared" si="7"/>
        <v xml:space="preserve">Tom Jackson</v>
      </c>
    </row>
    <row r="102">
      <c r="A102">
        <v>10560</v>
      </c>
      <c r="B102" s="24">
        <v>44894</v>
      </c>
      <c r="C102" t="s">
        <v>575</v>
      </c>
      <c r="D102" s="28">
        <v>12.99</v>
      </c>
      <c r="E102" s="26">
        <v>477.29000000000002</v>
      </c>
      <c r="F102" t="s">
        <v>576</v>
      </c>
      <c r="G102" t="s">
        <v>577</v>
      </c>
      <c r="H102" t="s">
        <v>578</v>
      </c>
      <c r="I102" t="s">
        <v>579</v>
      </c>
      <c r="J102">
        <f t="shared" si="6"/>
        <v>6199.9971000000005</v>
      </c>
      <c r="K102" t="str">
        <f t="shared" si="7"/>
        <v xml:space="preserve">Tom Jackson</v>
      </c>
    </row>
    <row r="103">
      <c r="A103">
        <v>10561</v>
      </c>
      <c r="B103" s="24">
        <v>44894</v>
      </c>
      <c r="C103" t="s">
        <v>580</v>
      </c>
      <c r="D103" s="25">
        <v>9.9499999999999993</v>
      </c>
      <c r="E103" s="26">
        <v>201.00999999999999</v>
      </c>
      <c r="F103" t="s">
        <v>581</v>
      </c>
      <c r="G103" t="s">
        <v>582</v>
      </c>
      <c r="H103" t="s">
        <v>583</v>
      </c>
      <c r="I103" t="s">
        <v>584</v>
      </c>
      <c r="J103">
        <f t="shared" si="6"/>
        <v>2000.0494999999999</v>
      </c>
      <c r="K103" t="str">
        <f t="shared" si="7"/>
        <v xml:space="preserve">Tom Jackson</v>
      </c>
    </row>
    <row r="104">
      <c r="A104">
        <v>10562</v>
      </c>
      <c r="B104" s="24">
        <v>44894</v>
      </c>
      <c r="C104" t="s">
        <v>585</v>
      </c>
      <c r="D104" s="25">
        <v>3.4900000000000002</v>
      </c>
      <c r="E104" s="26">
        <v>630.37</v>
      </c>
      <c r="F104" t="s">
        <v>586</v>
      </c>
      <c r="G104" t="s">
        <v>587</v>
      </c>
      <c r="H104" t="s">
        <v>588</v>
      </c>
      <c r="I104" t="s">
        <v>589</v>
      </c>
      <c r="J104">
        <f t="shared" si="6"/>
        <v>2199.9913000000001</v>
      </c>
      <c r="K104" t="str">
        <f t="shared" si="7"/>
        <v xml:space="preserve">Tom Jackson</v>
      </c>
    </row>
    <row r="105">
      <c r="A105">
        <v>10563</v>
      </c>
      <c r="B105" s="24">
        <v>44894</v>
      </c>
      <c r="C105" t="s">
        <v>590</v>
      </c>
      <c r="D105" s="25">
        <v>2.9500000000000002</v>
      </c>
      <c r="E105" s="26">
        <v>677.97000000000003</v>
      </c>
      <c r="F105" t="s">
        <v>591</v>
      </c>
      <c r="G105" t="s">
        <v>592</v>
      </c>
      <c r="H105" t="s">
        <v>593</v>
      </c>
      <c r="I105" t="s">
        <v>594</v>
      </c>
      <c r="J105">
        <f t="shared" si="6"/>
        <v>2000.0115000000003</v>
      </c>
      <c r="K105" t="str">
        <f t="shared" si="7"/>
        <v xml:space="preserve">Tom Jackson</v>
      </c>
    </row>
    <row r="106">
      <c r="A106">
        <v>10564</v>
      </c>
      <c r="B106" s="24">
        <v>44894</v>
      </c>
      <c r="C106" t="s">
        <v>595</v>
      </c>
      <c r="D106" s="25">
        <v>4.9900000000000002</v>
      </c>
      <c r="E106" s="27">
        <v>200.40000000000001</v>
      </c>
      <c r="F106" t="s">
        <v>596</v>
      </c>
      <c r="G106" t="s">
        <v>597</v>
      </c>
      <c r="H106" t="s">
        <v>598</v>
      </c>
      <c r="I106" t="s">
        <v>599</v>
      </c>
      <c r="J106">
        <f t="shared" si="6"/>
        <v>999.99600000000009</v>
      </c>
      <c r="K106" t="str">
        <f t="shared" si="7"/>
        <v xml:space="preserve">Tom Jackson</v>
      </c>
    </row>
    <row r="107">
      <c r="A107">
        <v>10565</v>
      </c>
      <c r="B107" s="24">
        <v>44895</v>
      </c>
      <c r="C107" t="s">
        <v>600</v>
      </c>
      <c r="D107" s="28">
        <v>12.99</v>
      </c>
      <c r="E107" s="26">
        <v>492.69</v>
      </c>
      <c r="F107" t="s">
        <v>601</v>
      </c>
      <c r="G107" t="s">
        <v>602</v>
      </c>
      <c r="H107" t="s">
        <v>603</v>
      </c>
      <c r="I107" t="s">
        <v>604</v>
      </c>
      <c r="J107">
        <f t="shared" si="6"/>
        <v>6400.0430999999999</v>
      </c>
      <c r="K107" t="str">
        <f t="shared" si="7"/>
        <v xml:space="preserve">Tom Jackson</v>
      </c>
    </row>
    <row r="108">
      <c r="A108">
        <v>10566</v>
      </c>
      <c r="B108" s="24">
        <v>44895</v>
      </c>
      <c r="C108" t="s">
        <v>605</v>
      </c>
      <c r="D108" s="25">
        <v>9.9499999999999993</v>
      </c>
      <c r="E108" s="26">
        <v>201.00999999999999</v>
      </c>
      <c r="F108" t="s">
        <v>606</v>
      </c>
      <c r="G108" t="s">
        <v>607</v>
      </c>
      <c r="H108" t="s">
        <v>608</v>
      </c>
      <c r="I108" t="s">
        <v>609</v>
      </c>
      <c r="J108">
        <f t="shared" si="6"/>
        <v>2000.0494999999999</v>
      </c>
      <c r="K108" t="str">
        <f t="shared" si="7"/>
        <v xml:space="preserve">Tom Jackson</v>
      </c>
    </row>
    <row r="109">
      <c r="A109">
        <v>10567</v>
      </c>
      <c r="B109" s="24">
        <v>44895</v>
      </c>
      <c r="C109" t="s">
        <v>610</v>
      </c>
      <c r="D109" s="25">
        <v>3.4900000000000002</v>
      </c>
      <c r="E109" s="26">
        <v>630.37</v>
      </c>
      <c r="F109" t="s">
        <v>611</v>
      </c>
      <c r="G109" t="s">
        <v>612</v>
      </c>
      <c r="H109" t="s">
        <v>613</v>
      </c>
      <c r="I109" t="s">
        <v>614</v>
      </c>
      <c r="J109">
        <f t="shared" si="6"/>
        <v>2199.9913000000001</v>
      </c>
      <c r="K109" t="str">
        <f t="shared" si="7"/>
        <v xml:space="preserve">Tom Jackson</v>
      </c>
    </row>
    <row r="110">
      <c r="A110">
        <v>10568</v>
      </c>
      <c r="B110" s="24">
        <v>44895</v>
      </c>
      <c r="C110" t="s">
        <v>615</v>
      </c>
      <c r="D110" s="25">
        <v>2.9500000000000002</v>
      </c>
      <c r="E110" s="26">
        <v>677.97000000000003</v>
      </c>
      <c r="F110" t="s">
        <v>616</v>
      </c>
      <c r="G110" t="s">
        <v>617</v>
      </c>
      <c r="H110" t="s">
        <v>618</v>
      </c>
      <c r="I110" t="s">
        <v>619</v>
      </c>
      <c r="J110">
        <f t="shared" si="6"/>
        <v>2000.0115000000003</v>
      </c>
      <c r="K110" t="str">
        <f t="shared" si="7"/>
        <v xml:space="preserve">Tom Jackson</v>
      </c>
    </row>
    <row r="111">
      <c r="A111">
        <v>10569</v>
      </c>
      <c r="B111" s="24">
        <v>44895</v>
      </c>
      <c r="C111" t="s">
        <v>620</v>
      </c>
      <c r="D111" s="25">
        <v>4.9900000000000002</v>
      </c>
      <c r="E111" s="27">
        <v>200.40000000000001</v>
      </c>
      <c r="F111" t="s">
        <v>621</v>
      </c>
      <c r="G111" t="s">
        <v>622</v>
      </c>
      <c r="H111" t="s">
        <v>623</v>
      </c>
      <c r="I111" t="s">
        <v>624</v>
      </c>
      <c r="J111">
        <f t="shared" si="6"/>
        <v>999.99600000000009</v>
      </c>
      <c r="K111" t="str">
        <f t="shared" si="7"/>
        <v xml:space="preserve">Tom Jackson</v>
      </c>
    </row>
    <row r="112">
      <c r="A112">
        <v>10570</v>
      </c>
      <c r="B112" s="24">
        <v>44896</v>
      </c>
      <c r="C112" t="s">
        <v>625</v>
      </c>
      <c r="D112" s="28">
        <v>12.99</v>
      </c>
      <c r="E112" s="26">
        <v>492.69</v>
      </c>
      <c r="F112" t="s">
        <v>626</v>
      </c>
      <c r="G112" t="s">
        <v>627</v>
      </c>
      <c r="H112" t="s">
        <v>628</v>
      </c>
      <c r="I112" t="s">
        <v>629</v>
      </c>
      <c r="J112">
        <f t="shared" si="6"/>
        <v>6400.0430999999999</v>
      </c>
      <c r="K112" t="str">
        <f t="shared" si="7"/>
        <v xml:space="preserve">Tom Jackson</v>
      </c>
    </row>
    <row r="113">
      <c r="A113">
        <v>10571</v>
      </c>
      <c r="B113" s="24">
        <v>44896</v>
      </c>
      <c r="C113" t="s">
        <v>630</v>
      </c>
      <c r="D113" s="25">
        <v>9.9499999999999993</v>
      </c>
      <c r="E113" s="26">
        <v>201.00999999999999</v>
      </c>
      <c r="F113" t="s">
        <v>631</v>
      </c>
      <c r="G113" t="s">
        <v>632</v>
      </c>
      <c r="H113" t="s">
        <v>633</v>
      </c>
      <c r="I113" t="s">
        <v>634</v>
      </c>
      <c r="J113">
        <f t="shared" si="6"/>
        <v>2000.0494999999999</v>
      </c>
      <c r="K113" t="str">
        <f t="shared" si="7"/>
        <v xml:space="preserve">Tom Jackson</v>
      </c>
    </row>
    <row r="114">
      <c r="A114">
        <v>10572</v>
      </c>
      <c r="B114" s="24">
        <v>44896</v>
      </c>
      <c r="C114" t="s">
        <v>635</v>
      </c>
      <c r="D114" s="25">
        <v>3.4900000000000002</v>
      </c>
      <c r="E114" s="26">
        <v>573.07000000000005</v>
      </c>
      <c r="F114" t="s">
        <v>636</v>
      </c>
      <c r="G114" t="s">
        <v>637</v>
      </c>
      <c r="H114" t="s">
        <v>638</v>
      </c>
      <c r="I114" t="s">
        <v>639</v>
      </c>
      <c r="J114">
        <f t="shared" si="6"/>
        <v>2000.0143000000003</v>
      </c>
      <c r="K114" t="str">
        <f t="shared" si="7"/>
        <v xml:space="preserve">Remy Monet</v>
      </c>
    </row>
    <row r="115">
      <c r="A115">
        <v>10573</v>
      </c>
      <c r="B115" s="24">
        <v>44896</v>
      </c>
      <c r="C115" t="s">
        <v>640</v>
      </c>
      <c r="D115" s="25">
        <v>2.9500000000000002</v>
      </c>
      <c r="E115" s="26">
        <v>677.97000000000003</v>
      </c>
      <c r="F115" t="s">
        <v>641</v>
      </c>
      <c r="G115" t="s">
        <v>642</v>
      </c>
      <c r="H115" t="s">
        <v>643</v>
      </c>
      <c r="I115" t="s">
        <v>644</v>
      </c>
      <c r="J115">
        <f t="shared" si="6"/>
        <v>2000.0115000000003</v>
      </c>
      <c r="K115" t="str">
        <f t="shared" si="7"/>
        <v xml:space="preserve">Remy Monet</v>
      </c>
    </row>
    <row r="116">
      <c r="A116">
        <v>10574</v>
      </c>
      <c r="B116" s="24">
        <v>44896</v>
      </c>
      <c r="C116" t="s">
        <v>645</v>
      </c>
      <c r="D116" s="25">
        <v>4.9900000000000002</v>
      </c>
      <c r="E116" s="27">
        <v>200.40000000000001</v>
      </c>
      <c r="F116" t="s">
        <v>646</v>
      </c>
      <c r="G116" t="s">
        <v>647</v>
      </c>
      <c r="H116" t="s">
        <v>648</v>
      </c>
      <c r="I116" t="s">
        <v>649</v>
      </c>
      <c r="J116">
        <f t="shared" si="6"/>
        <v>999.99600000000009</v>
      </c>
      <c r="K116" t="str">
        <f t="shared" si="7"/>
        <v xml:space="preserve">Remy Monet</v>
      </c>
    </row>
    <row r="117">
      <c r="A117">
        <v>10575</v>
      </c>
      <c r="B117" s="24">
        <v>44897</v>
      </c>
      <c r="C117" t="s">
        <v>650</v>
      </c>
      <c r="D117" s="28">
        <v>12.99</v>
      </c>
      <c r="E117" s="26">
        <v>523.48000000000002</v>
      </c>
      <c r="F117" t="s">
        <v>651</v>
      </c>
      <c r="G117" t="s">
        <v>652</v>
      </c>
      <c r="H117" t="s">
        <v>653</v>
      </c>
      <c r="I117" t="s">
        <v>654</v>
      </c>
      <c r="J117">
        <f t="shared" si="6"/>
        <v>6800.0052000000005</v>
      </c>
      <c r="K117" t="str">
        <f t="shared" si="7"/>
        <v xml:space="preserve">Remy Monet</v>
      </c>
    </row>
    <row r="118">
      <c r="A118">
        <v>10576</v>
      </c>
      <c r="B118" s="24">
        <v>44897</v>
      </c>
      <c r="C118" t="s">
        <v>655</v>
      </c>
      <c r="D118" s="25">
        <v>9.9499999999999993</v>
      </c>
      <c r="E118" s="26">
        <v>201.00999999999999</v>
      </c>
      <c r="F118" t="s">
        <v>656</v>
      </c>
      <c r="G118" t="s">
        <v>657</v>
      </c>
      <c r="H118" t="s">
        <v>658</v>
      </c>
      <c r="I118" t="s">
        <v>659</v>
      </c>
      <c r="J118">
        <f t="shared" si="6"/>
        <v>2000.0494999999999</v>
      </c>
      <c r="K118" t="str">
        <f t="shared" si="7"/>
        <v xml:space="preserve">Remy Monet</v>
      </c>
    </row>
    <row r="119">
      <c r="A119">
        <v>10577</v>
      </c>
      <c r="B119" s="24">
        <v>44897</v>
      </c>
      <c r="C119" t="s">
        <v>660</v>
      </c>
      <c r="D119" s="25">
        <v>3.4900000000000002</v>
      </c>
      <c r="E119" s="26">
        <v>630.37</v>
      </c>
      <c r="F119" t="s">
        <v>661</v>
      </c>
      <c r="G119" t="s">
        <v>662</v>
      </c>
      <c r="H119" t="s">
        <v>663</v>
      </c>
      <c r="I119" t="s">
        <v>664</v>
      </c>
      <c r="J119">
        <f t="shared" si="6"/>
        <v>2199.9913000000001</v>
      </c>
      <c r="K119" t="str">
        <f t="shared" si="7"/>
        <v xml:space="preserve">Remy Monet</v>
      </c>
    </row>
    <row r="120">
      <c r="A120">
        <v>10578</v>
      </c>
      <c r="B120" s="24">
        <v>44897</v>
      </c>
      <c r="C120" t="s">
        <v>665</v>
      </c>
      <c r="D120" s="25">
        <v>2.9500000000000002</v>
      </c>
      <c r="E120" s="26">
        <v>677.97000000000003</v>
      </c>
      <c r="F120" t="s">
        <v>666</v>
      </c>
      <c r="G120" t="s">
        <v>667</v>
      </c>
      <c r="H120" t="s">
        <v>668</v>
      </c>
      <c r="I120" t="s">
        <v>669</v>
      </c>
      <c r="J120">
        <f t="shared" si="6"/>
        <v>2000.0115000000003</v>
      </c>
      <c r="K120" t="str">
        <f t="shared" si="7"/>
        <v xml:space="preserve">Remy Monet</v>
      </c>
    </row>
    <row r="121">
      <c r="A121">
        <v>10579</v>
      </c>
      <c r="B121" s="24">
        <v>44897</v>
      </c>
      <c r="C121" t="s">
        <v>670</v>
      </c>
      <c r="D121" s="25">
        <v>4.9900000000000002</v>
      </c>
      <c r="E121" s="27">
        <v>200.40000000000001</v>
      </c>
      <c r="F121" t="s">
        <v>671</v>
      </c>
      <c r="G121" t="s">
        <v>672</v>
      </c>
      <c r="H121" t="s">
        <v>673</v>
      </c>
      <c r="I121" t="s">
        <v>674</v>
      </c>
      <c r="J121">
        <f t="shared" si="6"/>
        <v>999.99600000000009</v>
      </c>
      <c r="K121" t="str">
        <f t="shared" si="7"/>
        <v xml:space="preserve">Remy Monet</v>
      </c>
    </row>
    <row r="122">
      <c r="A122">
        <v>10580</v>
      </c>
      <c r="B122" s="24">
        <v>44898</v>
      </c>
      <c r="C122" t="s">
        <v>675</v>
      </c>
      <c r="D122" s="28">
        <v>12.99</v>
      </c>
      <c r="E122" s="26">
        <v>523.48000000000002</v>
      </c>
      <c r="F122" t="s">
        <v>676</v>
      </c>
      <c r="G122" t="s">
        <v>677</v>
      </c>
      <c r="H122" t="s">
        <v>678</v>
      </c>
      <c r="I122" t="s">
        <v>679</v>
      </c>
      <c r="J122">
        <f t="shared" si="6"/>
        <v>6800.0052000000005</v>
      </c>
      <c r="K122" t="str">
        <f t="shared" si="7"/>
        <v xml:space="preserve">Remy Monet</v>
      </c>
    </row>
    <row r="123">
      <c r="A123">
        <v>10581</v>
      </c>
      <c r="B123" s="24">
        <v>44898</v>
      </c>
      <c r="C123" t="s">
        <v>680</v>
      </c>
      <c r="D123" s="25">
        <v>9.9499999999999993</v>
      </c>
      <c r="E123" s="26">
        <v>201.00999999999999</v>
      </c>
      <c r="F123" t="s">
        <v>681</v>
      </c>
      <c r="G123" t="s">
        <v>682</v>
      </c>
      <c r="H123" t="s">
        <v>47</v>
      </c>
      <c r="I123" t="s">
        <v>46</v>
      </c>
      <c r="J123">
        <f t="shared" si="6"/>
        <v>2000.0494999999999</v>
      </c>
      <c r="K123" t="str">
        <f t="shared" si="7"/>
        <v xml:space="preserve">Remy Monet</v>
      </c>
    </row>
    <row r="124">
      <c r="A124">
        <v>10582</v>
      </c>
      <c r="B124" s="24">
        <v>44898</v>
      </c>
      <c r="C124" t="s">
        <v>683</v>
      </c>
      <c r="D124" s="25">
        <v>3.4900000000000002</v>
      </c>
      <c r="E124" s="26">
        <v>630.37</v>
      </c>
      <c r="F124" t="s">
        <v>684</v>
      </c>
      <c r="G124" t="s">
        <v>685</v>
      </c>
      <c r="H124" t="s">
        <v>686</v>
      </c>
      <c r="I124" t="s">
        <v>687</v>
      </c>
      <c r="J124">
        <f t="shared" si="6"/>
        <v>2199.9913000000001</v>
      </c>
      <c r="K124" t="str">
        <f t="shared" si="7"/>
        <v xml:space="preserve">Tom Jackson</v>
      </c>
    </row>
    <row r="125">
      <c r="A125">
        <v>10583</v>
      </c>
      <c r="B125" s="24">
        <v>44898</v>
      </c>
      <c r="C125" t="s">
        <v>688</v>
      </c>
      <c r="D125" s="25">
        <v>2.9500000000000002</v>
      </c>
      <c r="E125" s="26">
        <v>677.97000000000003</v>
      </c>
      <c r="F125" t="s">
        <v>689</v>
      </c>
      <c r="G125" t="s">
        <v>690</v>
      </c>
      <c r="H125" t="s">
        <v>691</v>
      </c>
      <c r="I125" t="s">
        <v>692</v>
      </c>
      <c r="J125">
        <f t="shared" si="6"/>
        <v>2000.0115000000003</v>
      </c>
      <c r="K125" t="str">
        <f t="shared" si="7"/>
        <v xml:space="preserve">Tom Jackson</v>
      </c>
    </row>
    <row r="126">
      <c r="A126">
        <v>10584</v>
      </c>
      <c r="B126" s="24">
        <v>44898</v>
      </c>
      <c r="C126" t="s">
        <v>693</v>
      </c>
      <c r="D126" s="25">
        <v>4.9900000000000002</v>
      </c>
      <c r="E126" s="27">
        <v>200.40000000000001</v>
      </c>
      <c r="F126" t="s">
        <v>694</v>
      </c>
      <c r="G126" t="s">
        <v>695</v>
      </c>
      <c r="H126" t="s">
        <v>696</v>
      </c>
      <c r="I126" t="s">
        <v>697</v>
      </c>
      <c r="J126">
        <f t="shared" si="6"/>
        <v>999.99600000000009</v>
      </c>
      <c r="K126" t="str">
        <f t="shared" si="7"/>
        <v xml:space="preserve">Tom Jackson</v>
      </c>
    </row>
    <row r="127">
      <c r="A127">
        <v>10585</v>
      </c>
      <c r="B127" s="24">
        <v>44899</v>
      </c>
      <c r="C127" t="s">
        <v>698</v>
      </c>
      <c r="D127" s="28">
        <v>12.99</v>
      </c>
      <c r="E127" s="26">
        <v>538.88</v>
      </c>
      <c r="F127" t="s">
        <v>699</v>
      </c>
      <c r="G127" t="s">
        <v>700</v>
      </c>
      <c r="H127" t="s">
        <v>701</v>
      </c>
      <c r="I127" t="s">
        <v>702</v>
      </c>
      <c r="J127">
        <f t="shared" si="6"/>
        <v>7000.0511999999999</v>
      </c>
      <c r="K127" t="str">
        <f t="shared" si="7"/>
        <v xml:space="preserve">Tom Jackson</v>
      </c>
    </row>
    <row r="128">
      <c r="A128">
        <v>10586</v>
      </c>
      <c r="B128" s="24">
        <v>44899</v>
      </c>
      <c r="C128" t="s">
        <v>703</v>
      </c>
      <c r="D128" s="25">
        <v>9.9499999999999993</v>
      </c>
      <c r="E128" s="26">
        <v>201.00999999999999</v>
      </c>
      <c r="F128" t="s">
        <v>704</v>
      </c>
      <c r="G128" t="s">
        <v>705</v>
      </c>
      <c r="H128" t="s">
        <v>706</v>
      </c>
      <c r="I128" t="s">
        <v>707</v>
      </c>
      <c r="J128">
        <f t="shared" si="6"/>
        <v>2000.0494999999999</v>
      </c>
      <c r="K128" t="str">
        <f t="shared" si="7"/>
        <v xml:space="preserve">Tom Jackson</v>
      </c>
    </row>
    <row r="129">
      <c r="A129">
        <v>10537</v>
      </c>
      <c r="B129" s="24">
        <v>44889</v>
      </c>
      <c r="C129" t="s">
        <v>708</v>
      </c>
      <c r="D129" s="25">
        <v>3.4900000000000002</v>
      </c>
      <c r="E129" s="26">
        <v>630.37</v>
      </c>
      <c r="F129" t="s">
        <v>709</v>
      </c>
      <c r="G129" t="s">
        <v>710</v>
      </c>
      <c r="H129" t="s">
        <v>711</v>
      </c>
      <c r="I129" t="s">
        <v>712</v>
      </c>
      <c r="J129">
        <f t="shared" si="6"/>
        <v>2199.9913000000001</v>
      </c>
      <c r="K129" t="str">
        <f t="shared" si="7"/>
        <v xml:space="preserve">Pablo Perez</v>
      </c>
    </row>
    <row r="130">
      <c r="A130">
        <v>10538</v>
      </c>
      <c r="B130" s="24">
        <v>44889</v>
      </c>
      <c r="C130" t="s">
        <v>713</v>
      </c>
      <c r="D130" s="25">
        <v>2.9500000000000002</v>
      </c>
      <c r="E130" s="26">
        <v>745.75999999999999</v>
      </c>
      <c r="F130" t="s">
        <v>714</v>
      </c>
      <c r="G130" t="s">
        <v>715</v>
      </c>
      <c r="H130" t="s">
        <v>716</v>
      </c>
      <c r="I130" t="s">
        <v>717</v>
      </c>
      <c r="J130">
        <f t="shared" si="6"/>
        <v>2199.9920000000002</v>
      </c>
      <c r="K130" t="str">
        <f t="shared" si="7"/>
        <v xml:space="preserve">Pablo Perez</v>
      </c>
    </row>
    <row r="131">
      <c r="A131">
        <v>10539</v>
      </c>
      <c r="B131" s="24">
        <v>44889</v>
      </c>
      <c r="C131" t="s">
        <v>718</v>
      </c>
      <c r="D131" s="25">
        <v>4.9900000000000002</v>
      </c>
      <c r="E131" s="27">
        <v>200.40000000000001</v>
      </c>
      <c r="F131" t="s">
        <v>719</v>
      </c>
      <c r="G131" t="s">
        <v>720</v>
      </c>
      <c r="H131" t="s">
        <v>45</v>
      </c>
      <c r="I131" t="s">
        <v>44</v>
      </c>
      <c r="J131">
        <f t="shared" si="6"/>
        <v>999.99600000000009</v>
      </c>
      <c r="K131" t="str">
        <f t="shared" si="7"/>
        <v xml:space="preserve">Pablo Perez</v>
      </c>
    </row>
    <row r="132">
      <c r="A132">
        <v>10590</v>
      </c>
      <c r="B132" s="24">
        <v>44900</v>
      </c>
      <c r="C132" t="s">
        <v>721</v>
      </c>
      <c r="D132" s="28">
        <v>12.99</v>
      </c>
      <c r="E132" s="26">
        <v>554.26999999999998</v>
      </c>
      <c r="F132" t="s">
        <v>722</v>
      </c>
      <c r="G132" t="s">
        <v>723</v>
      </c>
      <c r="H132" t="s">
        <v>724</v>
      </c>
      <c r="I132" t="s">
        <v>725</v>
      </c>
      <c r="J132">
        <f t="shared" si="6"/>
        <v>7199.9673000000003</v>
      </c>
      <c r="K132" t="str">
        <f t="shared" si="7"/>
        <v xml:space="preserve">Tom Jackson</v>
      </c>
    </row>
    <row r="133">
      <c r="A133">
        <v>10591</v>
      </c>
      <c r="B133" s="24">
        <v>44900</v>
      </c>
      <c r="C133" t="s">
        <v>726</v>
      </c>
      <c r="D133" s="25">
        <v>9.9499999999999993</v>
      </c>
      <c r="E133" s="26">
        <v>201.00999999999999</v>
      </c>
      <c r="F133" t="s">
        <v>727</v>
      </c>
      <c r="G133" t="s">
        <v>728</v>
      </c>
      <c r="H133" t="s">
        <v>729</v>
      </c>
      <c r="I133" t="s">
        <v>730</v>
      </c>
      <c r="J133">
        <f t="shared" si="6"/>
        <v>2000.0494999999999</v>
      </c>
      <c r="K133" t="str">
        <f t="shared" si="7"/>
        <v xml:space="preserve">Tom Jackson</v>
      </c>
    </row>
    <row r="134">
      <c r="A134">
        <v>10592</v>
      </c>
      <c r="B134" s="24">
        <v>44900</v>
      </c>
      <c r="C134" t="s">
        <v>731</v>
      </c>
      <c r="D134" s="25">
        <v>3.4900000000000002</v>
      </c>
      <c r="E134" s="26">
        <v>573.07000000000005</v>
      </c>
      <c r="F134" t="s">
        <v>732</v>
      </c>
      <c r="G134" t="s">
        <v>733</v>
      </c>
      <c r="H134" t="s">
        <v>734</v>
      </c>
      <c r="I134" t="s">
        <v>735</v>
      </c>
      <c r="J134">
        <f t="shared" si="6"/>
        <v>2000.0143000000003</v>
      </c>
      <c r="K134" t="str">
        <f t="shared" si="7"/>
        <v xml:space="preserve">Tom Jackson</v>
      </c>
    </row>
    <row r="135">
      <c r="A135">
        <v>10593</v>
      </c>
      <c r="B135" s="24">
        <v>44900</v>
      </c>
      <c r="C135" t="s">
        <v>736</v>
      </c>
      <c r="D135" s="25">
        <v>2.9500000000000002</v>
      </c>
      <c r="E135" s="26">
        <v>677.97000000000003</v>
      </c>
      <c r="F135" t="s">
        <v>737</v>
      </c>
      <c r="G135" t="s">
        <v>738</v>
      </c>
      <c r="H135" t="s">
        <v>739</v>
      </c>
      <c r="I135" t="s">
        <v>740</v>
      </c>
      <c r="J135">
        <f t="shared" si="6"/>
        <v>2000.0115000000003</v>
      </c>
      <c r="K135" t="str">
        <f t="shared" si="7"/>
        <v xml:space="preserve">Tom Jackson</v>
      </c>
    </row>
    <row r="136">
      <c r="A136">
        <v>10594</v>
      </c>
      <c r="B136" s="24">
        <v>44900</v>
      </c>
      <c r="C136" t="s">
        <v>741</v>
      </c>
      <c r="D136" s="25">
        <v>4.9900000000000002</v>
      </c>
      <c r="E136" s="27">
        <v>200.40000000000001</v>
      </c>
      <c r="F136" t="s">
        <v>742</v>
      </c>
      <c r="G136" t="s">
        <v>743</v>
      </c>
      <c r="H136" t="s">
        <v>744</v>
      </c>
      <c r="I136" t="s">
        <v>745</v>
      </c>
      <c r="J136">
        <f t="shared" si="6"/>
        <v>999.99600000000009</v>
      </c>
      <c r="K136" t="str">
        <f t="shared" si="7"/>
        <v xml:space="preserve">Tom Jackson</v>
      </c>
    </row>
    <row r="137">
      <c r="A137">
        <v>10595</v>
      </c>
      <c r="B137" s="24">
        <v>44901</v>
      </c>
      <c r="C137" t="s">
        <v>746</v>
      </c>
      <c r="D137" s="28">
        <v>12.99</v>
      </c>
      <c r="E137" s="26">
        <v>538.88</v>
      </c>
      <c r="F137" t="s">
        <v>747</v>
      </c>
      <c r="G137" t="s">
        <v>748</v>
      </c>
      <c r="H137" t="s">
        <v>749</v>
      </c>
      <c r="I137" t="s">
        <v>750</v>
      </c>
      <c r="J137">
        <f t="shared" si="6"/>
        <v>7000.0511999999999</v>
      </c>
      <c r="K137" t="str">
        <f t="shared" si="7"/>
        <v xml:space="preserve">Tom Jackson</v>
      </c>
    </row>
    <row r="138">
      <c r="A138">
        <v>10596</v>
      </c>
      <c r="B138" s="24">
        <v>44901</v>
      </c>
      <c r="C138" t="s">
        <v>751</v>
      </c>
      <c r="D138" s="25">
        <v>9.9499999999999993</v>
      </c>
      <c r="E138" s="26">
        <v>201.00999999999999</v>
      </c>
      <c r="F138" t="s">
        <v>752</v>
      </c>
      <c r="G138" t="s">
        <v>753</v>
      </c>
      <c r="H138" t="s">
        <v>754</v>
      </c>
      <c r="I138" t="s">
        <v>755</v>
      </c>
      <c r="J138">
        <f t="shared" si="6"/>
        <v>2000.0494999999999</v>
      </c>
      <c r="K138" t="str">
        <f t="shared" si="7"/>
        <v xml:space="preserve">Tom Jackson</v>
      </c>
    </row>
    <row r="139">
      <c r="A139">
        <v>10597</v>
      </c>
      <c r="B139" s="24">
        <v>44901</v>
      </c>
      <c r="C139" t="s">
        <v>756</v>
      </c>
      <c r="D139" s="25">
        <v>3.4900000000000002</v>
      </c>
      <c r="E139" s="26">
        <v>573.07000000000005</v>
      </c>
      <c r="F139" t="s">
        <v>757</v>
      </c>
      <c r="G139" t="s">
        <v>758</v>
      </c>
      <c r="H139" t="s">
        <v>759</v>
      </c>
      <c r="I139" t="s">
        <v>760</v>
      </c>
      <c r="J139">
        <f t="shared" si="6"/>
        <v>2000.0143000000003</v>
      </c>
      <c r="K139" t="str">
        <f t="shared" si="7"/>
        <v xml:space="preserve">Tom Jackson</v>
      </c>
    </row>
    <row r="140">
      <c r="A140">
        <v>10598</v>
      </c>
      <c r="B140" s="24">
        <v>44901</v>
      </c>
      <c r="C140" t="s">
        <v>761</v>
      </c>
      <c r="D140" s="25">
        <v>2.9500000000000002</v>
      </c>
      <c r="E140" s="26">
        <v>677.97000000000003</v>
      </c>
      <c r="F140" t="s">
        <v>762</v>
      </c>
      <c r="G140" t="s">
        <v>763</v>
      </c>
      <c r="H140" t="s">
        <v>764</v>
      </c>
      <c r="I140" t="s">
        <v>765</v>
      </c>
      <c r="J140">
        <f t="shared" si="6"/>
        <v>2000.0115000000003</v>
      </c>
      <c r="K140" t="str">
        <f t="shared" si="7"/>
        <v xml:space="preserve">Tom Jackson</v>
      </c>
    </row>
    <row r="141">
      <c r="A141">
        <v>10599</v>
      </c>
      <c r="B141" s="24">
        <v>44901</v>
      </c>
      <c r="C141" t="s">
        <v>766</v>
      </c>
      <c r="D141" s="25">
        <v>4.9900000000000002</v>
      </c>
      <c r="E141" s="27">
        <v>200.40000000000001</v>
      </c>
      <c r="F141" t="s">
        <v>767</v>
      </c>
      <c r="G141" t="s">
        <v>768</v>
      </c>
      <c r="H141" t="s">
        <v>769</v>
      </c>
      <c r="I141" t="s">
        <v>770</v>
      </c>
      <c r="J141">
        <f t="shared" si="6"/>
        <v>999.99600000000009</v>
      </c>
      <c r="K141" t="str">
        <f t="shared" si="7"/>
        <v xml:space="preserve">Tom Jackson</v>
      </c>
    </row>
    <row r="142">
      <c r="A142">
        <v>10600</v>
      </c>
      <c r="B142" s="24">
        <v>44902</v>
      </c>
      <c r="C142" t="s">
        <v>771</v>
      </c>
      <c r="D142" s="28">
        <v>12.99</v>
      </c>
      <c r="E142" s="26">
        <v>523.48000000000002</v>
      </c>
      <c r="F142" t="s">
        <v>772</v>
      </c>
      <c r="G142" t="s">
        <v>773</v>
      </c>
      <c r="H142" t="s">
        <v>774</v>
      </c>
      <c r="I142" t="s">
        <v>775</v>
      </c>
      <c r="J142">
        <f t="shared" si="6"/>
        <v>6800.0052000000005</v>
      </c>
      <c r="K142" t="str">
        <f t="shared" si="7"/>
        <v xml:space="preserve">Tom Jackson</v>
      </c>
    </row>
    <row r="143">
      <c r="A143">
        <v>10601</v>
      </c>
      <c r="B143" s="24">
        <v>44902</v>
      </c>
      <c r="C143" t="s">
        <v>776</v>
      </c>
      <c r="D143" s="25">
        <v>9.9499999999999993</v>
      </c>
      <c r="E143" s="26">
        <v>201.00999999999999</v>
      </c>
      <c r="F143" t="s">
        <v>777</v>
      </c>
      <c r="G143" t="s">
        <v>22</v>
      </c>
      <c r="H143" t="s">
        <v>778</v>
      </c>
      <c r="I143" t="s">
        <v>779</v>
      </c>
      <c r="J143">
        <f t="shared" si="6"/>
        <v>2000.0494999999999</v>
      </c>
      <c r="K143" t="str">
        <f t="shared" si="7"/>
        <v xml:space="preserve">Tom Jackson</v>
      </c>
    </row>
    <row r="144">
      <c r="A144">
        <v>10602</v>
      </c>
      <c r="B144" s="24">
        <v>44902</v>
      </c>
      <c r="C144" t="s">
        <v>780</v>
      </c>
      <c r="D144" s="25">
        <v>3.4900000000000002</v>
      </c>
      <c r="E144" s="26">
        <v>630.37</v>
      </c>
      <c r="F144" t="s">
        <v>781</v>
      </c>
      <c r="G144" t="s">
        <v>782</v>
      </c>
      <c r="H144" t="s">
        <v>783</v>
      </c>
      <c r="I144" t="s">
        <v>784</v>
      </c>
      <c r="J144">
        <f t="shared" si="6"/>
        <v>2199.9913000000001</v>
      </c>
      <c r="K144" t="str">
        <f t="shared" si="7"/>
        <v xml:space="preserve">Tom Jackson</v>
      </c>
    </row>
    <row r="145">
      <c r="A145">
        <v>10603</v>
      </c>
      <c r="B145" s="24">
        <v>44902</v>
      </c>
      <c r="C145" t="s">
        <v>785</v>
      </c>
      <c r="D145" s="25">
        <v>2.9500000000000002</v>
      </c>
      <c r="E145" s="26">
        <v>677.97000000000003</v>
      </c>
      <c r="F145" t="s">
        <v>786</v>
      </c>
      <c r="G145" t="s">
        <v>787</v>
      </c>
      <c r="H145" t="s">
        <v>788</v>
      </c>
      <c r="I145" t="s">
        <v>789</v>
      </c>
      <c r="J145">
        <f t="shared" si="6"/>
        <v>2000.0115000000003</v>
      </c>
      <c r="K145" t="str">
        <f t="shared" si="7"/>
        <v xml:space="preserve">Tom Jackson</v>
      </c>
    </row>
    <row r="146">
      <c r="A146">
        <v>10604</v>
      </c>
      <c r="B146" s="24">
        <v>44902</v>
      </c>
      <c r="C146" t="s">
        <v>790</v>
      </c>
      <c r="D146" s="25">
        <v>4.9900000000000002</v>
      </c>
      <c r="E146" s="27">
        <v>200.40000000000001</v>
      </c>
      <c r="F146" t="s">
        <v>791</v>
      </c>
      <c r="G146" t="s">
        <v>792</v>
      </c>
      <c r="H146" t="s">
        <v>793</v>
      </c>
      <c r="I146" t="s">
        <v>794</v>
      </c>
      <c r="J146">
        <f t="shared" si="6"/>
        <v>999.99600000000009</v>
      </c>
      <c r="K146" t="str">
        <f t="shared" si="7"/>
        <v xml:space="preserve">Tom Jackson</v>
      </c>
    </row>
    <row r="147">
      <c r="A147">
        <v>10605</v>
      </c>
      <c r="B147" s="24">
        <v>44903</v>
      </c>
      <c r="C147" t="s">
        <v>795</v>
      </c>
      <c r="D147" s="28">
        <v>12.99</v>
      </c>
      <c r="E147" s="26">
        <v>538.88</v>
      </c>
      <c r="F147" t="s">
        <v>796</v>
      </c>
      <c r="G147" t="s">
        <v>797</v>
      </c>
      <c r="H147" t="s">
        <v>798</v>
      </c>
      <c r="I147" t="s">
        <v>799</v>
      </c>
      <c r="J147">
        <f t="shared" si="6"/>
        <v>7000.0511999999999</v>
      </c>
      <c r="K147" t="str">
        <f t="shared" si="7"/>
        <v xml:space="preserve">Tom Jackson</v>
      </c>
    </row>
    <row r="148">
      <c r="A148">
        <v>10606</v>
      </c>
      <c r="B148" s="24">
        <v>44903</v>
      </c>
      <c r="C148" t="s">
        <v>800</v>
      </c>
      <c r="D148" s="25">
        <v>9.9499999999999993</v>
      </c>
      <c r="E148" s="26">
        <v>201.00999999999999</v>
      </c>
      <c r="F148" t="s">
        <v>801</v>
      </c>
      <c r="G148" t="s">
        <v>802</v>
      </c>
      <c r="H148" t="s">
        <v>803</v>
      </c>
      <c r="I148" t="s">
        <v>804</v>
      </c>
      <c r="J148">
        <f t="shared" si="6"/>
        <v>2000.0494999999999</v>
      </c>
      <c r="K148" t="str">
        <f t="shared" si="7"/>
        <v xml:space="preserve">Tom Jackson</v>
      </c>
    </row>
    <row r="149">
      <c r="A149">
        <v>10607</v>
      </c>
      <c r="B149" s="24">
        <v>44903</v>
      </c>
      <c r="C149" t="s">
        <v>805</v>
      </c>
      <c r="D149" s="25">
        <v>3.4900000000000002</v>
      </c>
      <c r="E149" s="26">
        <v>630.37</v>
      </c>
      <c r="F149" t="s">
        <v>806</v>
      </c>
      <c r="G149" t="s">
        <v>807</v>
      </c>
      <c r="H149" t="s">
        <v>808</v>
      </c>
      <c r="I149" t="s">
        <v>809</v>
      </c>
      <c r="J149">
        <f t="shared" si="6"/>
        <v>2199.9913000000001</v>
      </c>
      <c r="K149" t="str">
        <f t="shared" si="7"/>
        <v xml:space="preserve">Tom Jackson</v>
      </c>
    </row>
    <row r="150">
      <c r="A150">
        <v>10608</v>
      </c>
      <c r="B150" s="24">
        <v>44903</v>
      </c>
      <c r="C150" t="s">
        <v>810</v>
      </c>
      <c r="D150" s="25">
        <v>2.9500000000000002</v>
      </c>
      <c r="E150" s="26">
        <v>677.97000000000003</v>
      </c>
      <c r="F150" t="s">
        <v>811</v>
      </c>
      <c r="G150" t="s">
        <v>812</v>
      </c>
      <c r="H150" t="s">
        <v>813</v>
      </c>
      <c r="I150" t="s">
        <v>814</v>
      </c>
      <c r="J150">
        <f t="shared" si="6"/>
        <v>2000.0115000000003</v>
      </c>
      <c r="K150" t="str">
        <f t="shared" si="7"/>
        <v xml:space="preserve">Tom Jackson</v>
      </c>
    </row>
    <row r="151">
      <c r="A151">
        <v>10609</v>
      </c>
      <c r="B151" s="24">
        <v>44903</v>
      </c>
      <c r="C151" t="s">
        <v>815</v>
      </c>
      <c r="D151" s="25">
        <v>4.9900000000000002</v>
      </c>
      <c r="E151" s="27">
        <v>200.40000000000001</v>
      </c>
      <c r="F151" t="s">
        <v>816</v>
      </c>
      <c r="G151" t="s">
        <v>817</v>
      </c>
      <c r="H151" t="s">
        <v>818</v>
      </c>
      <c r="I151" t="s">
        <v>819</v>
      </c>
      <c r="J151">
        <f t="shared" si="6"/>
        <v>999.99600000000009</v>
      </c>
      <c r="K151" t="str">
        <f t="shared" si="7"/>
        <v xml:space="preserve">Tom Jackson</v>
      </c>
    </row>
    <row r="152">
      <c r="A152">
        <v>10610</v>
      </c>
      <c r="B152" s="24">
        <v>44904</v>
      </c>
      <c r="C152" t="s">
        <v>820</v>
      </c>
      <c r="D152" s="28">
        <v>12.99</v>
      </c>
      <c r="E152" s="26">
        <v>569.66999999999996</v>
      </c>
      <c r="F152" t="s">
        <v>821</v>
      </c>
      <c r="G152" t="s">
        <v>822</v>
      </c>
      <c r="H152" t="s">
        <v>823</v>
      </c>
      <c r="I152" t="s">
        <v>824</v>
      </c>
      <c r="J152">
        <f t="shared" si="6"/>
        <v>7400.0132999999996</v>
      </c>
      <c r="K152" t="str">
        <f t="shared" si="7"/>
        <v xml:space="preserve">Tom Jackson</v>
      </c>
    </row>
    <row r="153">
      <c r="A153">
        <v>10611</v>
      </c>
      <c r="B153" s="24">
        <v>44904</v>
      </c>
      <c r="C153" t="s">
        <v>825</v>
      </c>
      <c r="D153" s="25">
        <v>9.9499999999999993</v>
      </c>
      <c r="E153" s="26">
        <v>201.00999999999999</v>
      </c>
      <c r="F153" t="s">
        <v>826</v>
      </c>
      <c r="G153" t="s">
        <v>827</v>
      </c>
      <c r="H153" t="s">
        <v>828</v>
      </c>
      <c r="I153" t="s">
        <v>829</v>
      </c>
      <c r="J153">
        <f t="shared" si="6"/>
        <v>2000.0494999999999</v>
      </c>
      <c r="K153" t="str">
        <f t="shared" si="7"/>
        <v xml:space="preserve">Tom Jackson</v>
      </c>
    </row>
    <row r="154">
      <c r="A154">
        <v>10612</v>
      </c>
      <c r="B154" s="24">
        <v>44904</v>
      </c>
      <c r="C154" t="s">
        <v>830</v>
      </c>
      <c r="D154" s="25">
        <v>3.4900000000000002</v>
      </c>
      <c r="E154" s="26">
        <v>630.37</v>
      </c>
      <c r="F154" t="s">
        <v>831</v>
      </c>
      <c r="G154" t="s">
        <v>832</v>
      </c>
      <c r="H154" t="s">
        <v>833</v>
      </c>
      <c r="I154" t="s">
        <v>834</v>
      </c>
      <c r="J154">
        <f t="shared" si="6"/>
        <v>2199.9913000000001</v>
      </c>
      <c r="K154" t="str">
        <f t="shared" si="7"/>
        <v xml:space="preserve">Tom Jackson</v>
      </c>
    </row>
    <row r="155">
      <c r="A155">
        <v>10613</v>
      </c>
      <c r="B155" s="24">
        <v>44904</v>
      </c>
      <c r="C155" t="s">
        <v>835</v>
      </c>
      <c r="D155" s="25">
        <v>2.9500000000000002</v>
      </c>
      <c r="E155" s="26">
        <v>677.97000000000003</v>
      </c>
      <c r="F155" t="s">
        <v>836</v>
      </c>
      <c r="G155" t="s">
        <v>837</v>
      </c>
      <c r="H155" t="s">
        <v>838</v>
      </c>
      <c r="I155" t="s">
        <v>839</v>
      </c>
      <c r="J155">
        <f t="shared" si="6"/>
        <v>2000.0115000000003</v>
      </c>
      <c r="K155" t="str">
        <f t="shared" si="7"/>
        <v xml:space="preserve">Tom Jackson</v>
      </c>
    </row>
    <row r="156">
      <c r="A156">
        <v>10614</v>
      </c>
      <c r="B156" s="24">
        <v>44904</v>
      </c>
      <c r="C156" t="s">
        <v>840</v>
      </c>
      <c r="D156" s="25">
        <v>4.9900000000000002</v>
      </c>
      <c r="E156" s="27">
        <v>200.40000000000001</v>
      </c>
      <c r="F156" t="s">
        <v>841</v>
      </c>
      <c r="G156" t="s">
        <v>842</v>
      </c>
      <c r="H156" t="s">
        <v>843</v>
      </c>
      <c r="I156" t="s">
        <v>844</v>
      </c>
      <c r="J156">
        <f t="shared" si="6"/>
        <v>999.99600000000009</v>
      </c>
      <c r="K156" t="str">
        <f t="shared" si="7"/>
        <v xml:space="preserve">Tom Jackson</v>
      </c>
    </row>
    <row r="157">
      <c r="A157">
        <v>10615</v>
      </c>
      <c r="B157" s="24">
        <v>44905</v>
      </c>
      <c r="C157" t="s">
        <v>845</v>
      </c>
      <c r="D157" s="28">
        <v>12.99</v>
      </c>
      <c r="E157" s="26">
        <v>569.66999999999996</v>
      </c>
      <c r="F157" t="s">
        <v>846</v>
      </c>
      <c r="G157" t="s">
        <v>847</v>
      </c>
      <c r="H157" t="s">
        <v>848</v>
      </c>
      <c r="I157" t="s">
        <v>849</v>
      </c>
      <c r="J157">
        <f t="shared" si="6"/>
        <v>7400.0132999999996</v>
      </c>
      <c r="K157" t="str">
        <f t="shared" si="7"/>
        <v xml:space="preserve">Tom Jackson</v>
      </c>
    </row>
    <row r="158">
      <c r="A158">
        <v>10616</v>
      </c>
      <c r="B158" s="24">
        <v>44905</v>
      </c>
      <c r="C158" t="s">
        <v>850</v>
      </c>
      <c r="D158" s="25">
        <v>9.9499999999999993</v>
      </c>
      <c r="E158" s="26">
        <v>201.00999999999999</v>
      </c>
      <c r="F158" t="s">
        <v>851</v>
      </c>
      <c r="G158" t="s">
        <v>852</v>
      </c>
      <c r="H158" t="s">
        <v>853</v>
      </c>
      <c r="I158" t="s">
        <v>854</v>
      </c>
      <c r="J158">
        <f t="shared" si="6"/>
        <v>2000.0494999999999</v>
      </c>
      <c r="K158" t="str">
        <f t="shared" si="7"/>
        <v xml:space="preserve">Tom Jackson</v>
      </c>
    </row>
    <row r="159">
      <c r="A159">
        <v>10617</v>
      </c>
      <c r="B159" s="24">
        <v>44905</v>
      </c>
      <c r="C159" t="s">
        <v>855</v>
      </c>
      <c r="D159" s="25">
        <v>3.4900000000000002</v>
      </c>
      <c r="E159" s="26">
        <v>630.37</v>
      </c>
      <c r="F159" t="s">
        <v>856</v>
      </c>
      <c r="G159" t="s">
        <v>857</v>
      </c>
      <c r="H159" t="s">
        <v>858</v>
      </c>
      <c r="I159" t="s">
        <v>859</v>
      </c>
      <c r="J159">
        <f t="shared" si="6"/>
        <v>2199.9913000000001</v>
      </c>
      <c r="K159" t="str">
        <f t="shared" si="7"/>
        <v xml:space="preserve">Tom Jackson</v>
      </c>
    </row>
    <row r="160">
      <c r="A160">
        <v>10618</v>
      </c>
      <c r="B160" s="24">
        <v>44905</v>
      </c>
      <c r="C160" t="s">
        <v>860</v>
      </c>
      <c r="D160" s="25">
        <v>2.9500000000000002</v>
      </c>
      <c r="E160" s="26">
        <v>677.97000000000003</v>
      </c>
      <c r="F160" t="s">
        <v>861</v>
      </c>
      <c r="G160" t="s">
        <v>862</v>
      </c>
      <c r="H160" t="s">
        <v>863</v>
      </c>
      <c r="I160" t="s">
        <v>864</v>
      </c>
      <c r="J160">
        <f t="shared" si="6"/>
        <v>2000.0115000000003</v>
      </c>
      <c r="K160" t="str">
        <f t="shared" si="7"/>
        <v xml:space="preserve">Tom Jackson</v>
      </c>
    </row>
    <row r="161">
      <c r="A161">
        <v>10619</v>
      </c>
      <c r="B161" s="24">
        <v>44905</v>
      </c>
      <c r="C161" t="s">
        <v>865</v>
      </c>
      <c r="D161" s="25">
        <v>4.9900000000000002</v>
      </c>
      <c r="E161" s="27">
        <v>200.40000000000001</v>
      </c>
      <c r="F161" t="s">
        <v>866</v>
      </c>
      <c r="G161" t="s">
        <v>867</v>
      </c>
      <c r="H161" t="s">
        <v>868</v>
      </c>
      <c r="I161" t="s">
        <v>869</v>
      </c>
      <c r="J161">
        <f t="shared" si="6"/>
        <v>999.99600000000009</v>
      </c>
      <c r="K161" t="str">
        <f t="shared" si="7"/>
        <v xml:space="preserve">Tom Jackson</v>
      </c>
    </row>
    <row r="162">
      <c r="A162">
        <v>10620</v>
      </c>
      <c r="B162" s="24">
        <v>44906</v>
      </c>
      <c r="C162" t="s">
        <v>870</v>
      </c>
      <c r="D162" s="28">
        <v>12.99</v>
      </c>
      <c r="E162" s="26">
        <v>585.07000000000005</v>
      </c>
      <c r="F162" t="s">
        <v>871</v>
      </c>
      <c r="G162" t="s">
        <v>872</v>
      </c>
      <c r="H162" t="s">
        <v>873</v>
      </c>
      <c r="I162" t="s">
        <v>874</v>
      </c>
      <c r="J162">
        <f t="shared" si="6"/>
        <v>7600.0593000000008</v>
      </c>
      <c r="K162" t="str">
        <f t="shared" si="7"/>
        <v xml:space="preserve">Tom Jackson</v>
      </c>
    </row>
    <row r="163">
      <c r="A163">
        <v>10621</v>
      </c>
      <c r="B163" s="24">
        <v>44906</v>
      </c>
      <c r="C163" t="s">
        <v>875</v>
      </c>
      <c r="D163" s="25">
        <v>9.9499999999999993</v>
      </c>
      <c r="E163" s="26">
        <v>201.00999999999999</v>
      </c>
      <c r="F163" t="s">
        <v>876</v>
      </c>
      <c r="G163" t="s">
        <v>877</v>
      </c>
      <c r="H163" t="s">
        <v>878</v>
      </c>
      <c r="I163" t="s">
        <v>879</v>
      </c>
      <c r="J163">
        <f t="shared" si="6"/>
        <v>2000.0494999999999</v>
      </c>
      <c r="K163" t="str">
        <f t="shared" si="7"/>
        <v xml:space="preserve">Tom Jackson</v>
      </c>
    </row>
    <row r="164">
      <c r="A164">
        <v>10622</v>
      </c>
      <c r="B164" s="24">
        <v>44906</v>
      </c>
      <c r="C164" t="s">
        <v>880</v>
      </c>
      <c r="D164" s="25">
        <v>3.4900000000000002</v>
      </c>
      <c r="E164" s="26">
        <v>630.37</v>
      </c>
      <c r="F164" t="s">
        <v>881</v>
      </c>
      <c r="G164" t="s">
        <v>882</v>
      </c>
      <c r="H164" t="s">
        <v>883</v>
      </c>
      <c r="I164" t="s">
        <v>884</v>
      </c>
      <c r="J164">
        <f t="shared" ref="J164:J227" si="8">D164*E164</f>
        <v>2199.9913000000001</v>
      </c>
      <c r="K164" t="str">
        <f t="shared" ref="K164:K227" si="9">TRIM(H164)</f>
        <v xml:space="preserve">Tom Jackson</v>
      </c>
    </row>
    <row r="165">
      <c r="A165">
        <v>10623</v>
      </c>
      <c r="B165" s="24">
        <v>44906</v>
      </c>
      <c r="C165" t="s">
        <v>885</v>
      </c>
      <c r="D165" s="25">
        <v>2.9500000000000002</v>
      </c>
      <c r="E165" s="26">
        <v>745.75999999999999</v>
      </c>
      <c r="F165" t="s">
        <v>886</v>
      </c>
      <c r="G165" t="s">
        <v>887</v>
      </c>
      <c r="H165" t="s">
        <v>888</v>
      </c>
      <c r="I165" t="s">
        <v>889</v>
      </c>
      <c r="J165">
        <f t="shared" si="8"/>
        <v>2199.9920000000002</v>
      </c>
      <c r="K165" t="str">
        <f t="shared" si="9"/>
        <v xml:space="preserve">Tom Jackson</v>
      </c>
    </row>
    <row r="166">
      <c r="A166">
        <v>10624</v>
      </c>
      <c r="B166" s="24">
        <v>44906</v>
      </c>
      <c r="C166" t="s">
        <v>890</v>
      </c>
      <c r="D166" s="25">
        <v>4.9900000000000002</v>
      </c>
      <c r="E166" s="27">
        <v>200.40000000000001</v>
      </c>
      <c r="F166" t="s">
        <v>891</v>
      </c>
      <c r="G166" t="s">
        <v>892</v>
      </c>
      <c r="H166" t="s">
        <v>893</v>
      </c>
      <c r="I166" t="s">
        <v>894</v>
      </c>
      <c r="J166">
        <f t="shared" si="8"/>
        <v>999.99600000000009</v>
      </c>
      <c r="K166" t="str">
        <f t="shared" si="9"/>
        <v xml:space="preserve">Tom Jackson</v>
      </c>
    </row>
    <row r="167">
      <c r="A167">
        <v>10625</v>
      </c>
      <c r="B167" s="24">
        <v>44907</v>
      </c>
      <c r="C167" t="s">
        <v>895</v>
      </c>
      <c r="D167" s="28">
        <v>12.99</v>
      </c>
      <c r="E167" s="26">
        <v>569.66999999999996</v>
      </c>
      <c r="F167" t="s">
        <v>896</v>
      </c>
      <c r="G167" t="s">
        <v>897</v>
      </c>
      <c r="H167" t="s">
        <v>898</v>
      </c>
      <c r="I167" t="s">
        <v>899</v>
      </c>
      <c r="J167">
        <f t="shared" si="8"/>
        <v>7400.0132999999996</v>
      </c>
      <c r="K167" t="str">
        <f t="shared" si="9"/>
        <v xml:space="preserve">Tom Jackson</v>
      </c>
    </row>
    <row r="168">
      <c r="A168">
        <v>10626</v>
      </c>
      <c r="B168" s="24">
        <v>44907</v>
      </c>
      <c r="C168" t="s">
        <v>900</v>
      </c>
      <c r="D168" s="25">
        <v>9.9499999999999993</v>
      </c>
      <c r="E168" s="26">
        <v>201.00999999999999</v>
      </c>
      <c r="F168" t="s">
        <v>901</v>
      </c>
      <c r="G168" t="s">
        <v>902</v>
      </c>
      <c r="H168" t="s">
        <v>903</v>
      </c>
      <c r="I168" t="s">
        <v>904</v>
      </c>
      <c r="J168">
        <f t="shared" si="8"/>
        <v>2000.0494999999999</v>
      </c>
      <c r="K168" t="str">
        <f t="shared" si="9"/>
        <v xml:space="preserve">Tom Jackson</v>
      </c>
    </row>
    <row r="169">
      <c r="A169">
        <v>10627</v>
      </c>
      <c r="B169" s="24">
        <v>44907</v>
      </c>
      <c r="C169" t="s">
        <v>905</v>
      </c>
      <c r="D169" s="25">
        <v>3.4900000000000002</v>
      </c>
      <c r="E169" s="26">
        <v>630.37</v>
      </c>
      <c r="F169" t="s">
        <v>906</v>
      </c>
      <c r="G169" t="s">
        <v>907</v>
      </c>
      <c r="H169" t="s">
        <v>43</v>
      </c>
      <c r="I169" t="s">
        <v>42</v>
      </c>
      <c r="J169">
        <f t="shared" si="8"/>
        <v>2199.9913000000001</v>
      </c>
      <c r="K169" t="str">
        <f t="shared" si="9"/>
        <v xml:space="preserve">Tom Jackson</v>
      </c>
    </row>
    <row r="170">
      <c r="A170">
        <v>10628</v>
      </c>
      <c r="B170" s="24">
        <v>44907</v>
      </c>
      <c r="C170" t="s">
        <v>908</v>
      </c>
      <c r="D170" s="25">
        <v>2.9500000000000002</v>
      </c>
      <c r="E170" s="26">
        <v>677.97000000000003</v>
      </c>
      <c r="F170" t="s">
        <v>909</v>
      </c>
      <c r="G170" t="s">
        <v>910</v>
      </c>
      <c r="H170" t="s">
        <v>911</v>
      </c>
      <c r="I170" t="s">
        <v>912</v>
      </c>
      <c r="J170">
        <f t="shared" si="8"/>
        <v>2000.0115000000003</v>
      </c>
      <c r="K170" t="str">
        <f t="shared" si="9"/>
        <v xml:space="preserve">Joao Silva</v>
      </c>
    </row>
    <row r="171">
      <c r="A171">
        <v>10629</v>
      </c>
      <c r="B171" s="24">
        <v>44907</v>
      </c>
      <c r="C171" t="s">
        <v>913</v>
      </c>
      <c r="D171" s="25">
        <v>4.9900000000000002</v>
      </c>
      <c r="E171" s="27">
        <v>200.40000000000001</v>
      </c>
      <c r="F171" t="s">
        <v>914</v>
      </c>
      <c r="G171" t="s">
        <v>915</v>
      </c>
      <c r="H171" t="s">
        <v>916</v>
      </c>
      <c r="I171" t="s">
        <v>917</v>
      </c>
      <c r="J171">
        <f t="shared" si="8"/>
        <v>999.99600000000009</v>
      </c>
      <c r="K171" t="str">
        <f t="shared" si="9"/>
        <v xml:space="preserve">Joao Silva</v>
      </c>
    </row>
    <row r="172">
      <c r="A172">
        <v>10630</v>
      </c>
      <c r="B172" s="24">
        <v>44908</v>
      </c>
      <c r="C172" t="s">
        <v>918</v>
      </c>
      <c r="D172" s="28">
        <v>12.99</v>
      </c>
      <c r="E172" s="26">
        <v>569.66999999999996</v>
      </c>
      <c r="F172" t="s">
        <v>919</v>
      </c>
      <c r="G172" t="s">
        <v>920</v>
      </c>
      <c r="H172" t="s">
        <v>921</v>
      </c>
      <c r="I172" t="s">
        <v>922</v>
      </c>
      <c r="J172">
        <f t="shared" si="8"/>
        <v>7400.0132999999996</v>
      </c>
      <c r="K172" t="str">
        <f t="shared" si="9"/>
        <v xml:space="preserve">Joao Silva</v>
      </c>
    </row>
    <row r="173">
      <c r="A173">
        <v>10631</v>
      </c>
      <c r="B173" s="24">
        <v>44908</v>
      </c>
      <c r="C173" t="s">
        <v>923</v>
      </c>
      <c r="D173" s="25">
        <v>9.9499999999999993</v>
      </c>
      <c r="E173" s="26">
        <v>201.00999999999999</v>
      </c>
      <c r="F173" t="s">
        <v>924</v>
      </c>
      <c r="G173" t="s">
        <v>925</v>
      </c>
      <c r="H173" t="s">
        <v>926</v>
      </c>
      <c r="I173" t="s">
        <v>927</v>
      </c>
      <c r="J173">
        <f t="shared" si="8"/>
        <v>2000.0494999999999</v>
      </c>
      <c r="K173" t="str">
        <f t="shared" si="9"/>
        <v xml:space="preserve">Joao Silva</v>
      </c>
    </row>
    <row r="174">
      <c r="A174">
        <v>10632</v>
      </c>
      <c r="B174" s="24">
        <v>44908</v>
      </c>
      <c r="C174" t="s">
        <v>928</v>
      </c>
      <c r="D174" s="25">
        <v>3.4900000000000002</v>
      </c>
      <c r="E174" s="26">
        <v>630.37</v>
      </c>
      <c r="F174" t="s">
        <v>929</v>
      </c>
      <c r="G174" t="s">
        <v>930</v>
      </c>
      <c r="H174" t="s">
        <v>931</v>
      </c>
      <c r="I174" t="s">
        <v>932</v>
      </c>
      <c r="J174">
        <f t="shared" si="8"/>
        <v>2199.9913000000001</v>
      </c>
      <c r="K174" t="str">
        <f t="shared" si="9"/>
        <v xml:space="preserve">Joao Silva</v>
      </c>
    </row>
    <row r="175">
      <c r="A175">
        <v>10633</v>
      </c>
      <c r="B175" s="24">
        <v>44908</v>
      </c>
      <c r="C175" t="s">
        <v>933</v>
      </c>
      <c r="D175" s="25">
        <v>2.9500000000000002</v>
      </c>
      <c r="E175" s="26">
        <v>677.97000000000003</v>
      </c>
      <c r="F175" t="s">
        <v>934</v>
      </c>
      <c r="G175" t="s">
        <v>935</v>
      </c>
      <c r="H175" t="s">
        <v>936</v>
      </c>
      <c r="I175" t="s">
        <v>937</v>
      </c>
      <c r="J175">
        <f t="shared" si="8"/>
        <v>2000.0115000000003</v>
      </c>
      <c r="K175" t="str">
        <f t="shared" si="9"/>
        <v xml:space="preserve">Joao Silva</v>
      </c>
    </row>
    <row r="176">
      <c r="A176">
        <v>10634</v>
      </c>
      <c r="B176" s="24">
        <v>44908</v>
      </c>
      <c r="C176" t="s">
        <v>938</v>
      </c>
      <c r="D176" s="25">
        <v>4.9900000000000002</v>
      </c>
      <c r="E176" s="27">
        <v>200.40000000000001</v>
      </c>
      <c r="F176" t="s">
        <v>939</v>
      </c>
      <c r="G176" t="s">
        <v>940</v>
      </c>
      <c r="H176" t="s">
        <v>941</v>
      </c>
      <c r="I176" t="s">
        <v>942</v>
      </c>
      <c r="J176">
        <f t="shared" si="8"/>
        <v>999.99600000000009</v>
      </c>
      <c r="K176" t="str">
        <f t="shared" si="9"/>
        <v xml:space="preserve">Joao Silva</v>
      </c>
    </row>
    <row r="177">
      <c r="A177">
        <v>10635</v>
      </c>
      <c r="B177" s="24">
        <v>44909</v>
      </c>
      <c r="C177" t="s">
        <v>943</v>
      </c>
      <c r="D177" s="28">
        <v>12.99</v>
      </c>
      <c r="E177" s="26">
        <v>554.26999999999998</v>
      </c>
      <c r="F177" t="s">
        <v>944</v>
      </c>
      <c r="G177" t="s">
        <v>945</v>
      </c>
      <c r="H177" t="s">
        <v>946</v>
      </c>
      <c r="I177" t="s">
        <v>947</v>
      </c>
      <c r="J177">
        <f t="shared" si="8"/>
        <v>7199.9673000000003</v>
      </c>
      <c r="K177" t="str">
        <f t="shared" si="9"/>
        <v xml:space="preserve">Joao Silva</v>
      </c>
    </row>
    <row r="178">
      <c r="A178">
        <v>10636</v>
      </c>
      <c r="B178" s="24">
        <v>44909</v>
      </c>
      <c r="C178" t="s">
        <v>948</v>
      </c>
      <c r="D178" s="25">
        <v>9.9499999999999993</v>
      </c>
      <c r="E178" s="26">
        <v>221.11000000000001</v>
      </c>
      <c r="F178" t="s">
        <v>949</v>
      </c>
      <c r="G178" t="s">
        <v>950</v>
      </c>
      <c r="H178" t="s">
        <v>951</v>
      </c>
      <c r="I178" t="s">
        <v>952</v>
      </c>
      <c r="J178">
        <f t="shared" si="8"/>
        <v>2200.0445</v>
      </c>
      <c r="K178" t="str">
        <f t="shared" si="9"/>
        <v xml:space="preserve">Joao Silva</v>
      </c>
    </row>
    <row r="179">
      <c r="A179">
        <v>10637</v>
      </c>
      <c r="B179" s="24">
        <v>44909</v>
      </c>
      <c r="C179" t="s">
        <v>953</v>
      </c>
      <c r="D179" s="25">
        <v>3.4900000000000002</v>
      </c>
      <c r="E179" s="26">
        <v>630.37</v>
      </c>
      <c r="F179" t="s">
        <v>954</v>
      </c>
      <c r="G179" t="s">
        <v>955</v>
      </c>
      <c r="H179" t="s">
        <v>956</v>
      </c>
      <c r="I179" t="s">
        <v>957</v>
      </c>
      <c r="J179">
        <f t="shared" si="8"/>
        <v>2199.9913000000001</v>
      </c>
      <c r="K179" t="str">
        <f t="shared" si="9"/>
        <v xml:space="preserve">Joao Silva</v>
      </c>
    </row>
    <row r="180">
      <c r="A180">
        <v>10638</v>
      </c>
      <c r="B180" s="24">
        <v>44909</v>
      </c>
      <c r="C180" t="s">
        <v>958</v>
      </c>
      <c r="D180" s="25">
        <v>2.9500000000000002</v>
      </c>
      <c r="E180" s="26">
        <v>677.97000000000003</v>
      </c>
      <c r="F180" t="s">
        <v>959</v>
      </c>
      <c r="G180" t="s">
        <v>960</v>
      </c>
      <c r="H180" t="s">
        <v>961</v>
      </c>
      <c r="I180" t="s">
        <v>962</v>
      </c>
      <c r="J180">
        <f t="shared" si="8"/>
        <v>2000.0115000000003</v>
      </c>
      <c r="K180" t="str">
        <f t="shared" si="9"/>
        <v xml:space="preserve">Joao Silva</v>
      </c>
    </row>
    <row r="181">
      <c r="A181">
        <v>10639</v>
      </c>
      <c r="B181" s="24">
        <v>44909</v>
      </c>
      <c r="C181" t="s">
        <v>963</v>
      </c>
      <c r="D181" s="25">
        <v>4.9900000000000002</v>
      </c>
      <c r="E181" s="27">
        <v>200.40000000000001</v>
      </c>
      <c r="F181" t="s">
        <v>964</v>
      </c>
      <c r="G181" t="s">
        <v>965</v>
      </c>
      <c r="H181" t="s">
        <v>966</v>
      </c>
      <c r="I181" t="s">
        <v>967</v>
      </c>
      <c r="J181">
        <f t="shared" si="8"/>
        <v>999.99600000000009</v>
      </c>
      <c r="K181" t="str">
        <f t="shared" si="9"/>
        <v xml:space="preserve">Joao Silva</v>
      </c>
    </row>
    <row r="182">
      <c r="A182">
        <v>10640</v>
      </c>
      <c r="B182" s="24">
        <v>44910</v>
      </c>
      <c r="C182" t="s">
        <v>968</v>
      </c>
      <c r="D182" s="28">
        <v>12.99</v>
      </c>
      <c r="E182" s="26">
        <v>538.88</v>
      </c>
      <c r="F182" t="s">
        <v>969</v>
      </c>
      <c r="G182" t="s">
        <v>970</v>
      </c>
      <c r="H182" t="s">
        <v>971</v>
      </c>
      <c r="I182" t="s">
        <v>972</v>
      </c>
      <c r="J182">
        <f t="shared" si="8"/>
        <v>7000.0511999999999</v>
      </c>
      <c r="K182" t="str">
        <f t="shared" si="9"/>
        <v xml:space="preserve">Joao Silva</v>
      </c>
    </row>
    <row r="183">
      <c r="A183">
        <v>10641</v>
      </c>
      <c r="B183" s="24">
        <v>44910</v>
      </c>
      <c r="C183" t="s">
        <v>973</v>
      </c>
      <c r="D183" s="25">
        <v>9.9499999999999993</v>
      </c>
      <c r="E183" s="26">
        <v>221.11000000000001</v>
      </c>
      <c r="F183" t="s">
        <v>974</v>
      </c>
      <c r="G183" t="s">
        <v>975</v>
      </c>
      <c r="H183" t="s">
        <v>976</v>
      </c>
      <c r="I183" t="s">
        <v>977</v>
      </c>
      <c r="J183">
        <f t="shared" si="8"/>
        <v>2200.0445</v>
      </c>
      <c r="K183" t="str">
        <f t="shared" si="9"/>
        <v xml:space="preserve">Joao Silva</v>
      </c>
    </row>
    <row r="184">
      <c r="A184">
        <v>10642</v>
      </c>
      <c r="B184" s="24">
        <v>44910</v>
      </c>
      <c r="C184" t="s">
        <v>978</v>
      </c>
      <c r="D184" s="25">
        <v>3.4900000000000002</v>
      </c>
      <c r="E184" s="26">
        <v>630.37</v>
      </c>
      <c r="F184" t="s">
        <v>979</v>
      </c>
      <c r="G184" t="s">
        <v>980</v>
      </c>
      <c r="H184" t="s">
        <v>981</v>
      </c>
      <c r="I184" t="s">
        <v>982</v>
      </c>
      <c r="J184">
        <f t="shared" si="8"/>
        <v>2199.9913000000001</v>
      </c>
      <c r="K184" t="str">
        <f t="shared" si="9"/>
        <v xml:space="preserve">Joao Silva</v>
      </c>
    </row>
    <row r="185">
      <c r="A185">
        <v>10643</v>
      </c>
      <c r="B185" s="24">
        <v>44910</v>
      </c>
      <c r="C185" t="s">
        <v>983</v>
      </c>
      <c r="D185" s="25">
        <v>2.9500000000000002</v>
      </c>
      <c r="E185" s="26">
        <v>677.97000000000003</v>
      </c>
      <c r="F185" t="s">
        <v>984</v>
      </c>
      <c r="G185" t="s">
        <v>985</v>
      </c>
      <c r="H185" t="s">
        <v>986</v>
      </c>
      <c r="I185" t="s">
        <v>987</v>
      </c>
      <c r="J185">
        <f t="shared" si="8"/>
        <v>2000.0115000000003</v>
      </c>
      <c r="K185" t="str">
        <f t="shared" si="9"/>
        <v xml:space="preserve">Joao Silva</v>
      </c>
    </row>
    <row r="186">
      <c r="A186">
        <v>10644</v>
      </c>
      <c r="B186" s="24">
        <v>44910</v>
      </c>
      <c r="C186" t="s">
        <v>988</v>
      </c>
      <c r="D186" s="25">
        <v>4.9900000000000002</v>
      </c>
      <c r="E186" s="27">
        <v>200.40000000000001</v>
      </c>
      <c r="F186" t="s">
        <v>989</v>
      </c>
      <c r="G186" t="s">
        <v>990</v>
      </c>
      <c r="H186" t="s">
        <v>991</v>
      </c>
      <c r="I186" t="s">
        <v>992</v>
      </c>
      <c r="J186">
        <f t="shared" si="8"/>
        <v>999.99600000000009</v>
      </c>
      <c r="K186" t="str">
        <f t="shared" si="9"/>
        <v xml:space="preserve">Joao Silva</v>
      </c>
    </row>
    <row r="187">
      <c r="A187">
        <v>10645</v>
      </c>
      <c r="B187" s="24">
        <v>44911</v>
      </c>
      <c r="C187" t="s">
        <v>993</v>
      </c>
      <c r="D187" s="28">
        <v>12.99</v>
      </c>
      <c r="E187" s="26">
        <v>569.66999999999996</v>
      </c>
      <c r="F187" t="s">
        <v>994</v>
      </c>
      <c r="G187" t="s">
        <v>995</v>
      </c>
      <c r="H187" t="s">
        <v>996</v>
      </c>
      <c r="I187" t="s">
        <v>997</v>
      </c>
      <c r="J187">
        <f t="shared" si="8"/>
        <v>7400.0132999999996</v>
      </c>
      <c r="K187" t="str">
        <f t="shared" si="9"/>
        <v xml:space="preserve">Joao Silva</v>
      </c>
    </row>
    <row r="188">
      <c r="A188">
        <v>10646</v>
      </c>
      <c r="B188" s="24">
        <v>44911</v>
      </c>
      <c r="C188" t="s">
        <v>998</v>
      </c>
      <c r="D188" s="25">
        <v>9.9499999999999993</v>
      </c>
      <c r="E188" s="26">
        <v>221.11000000000001</v>
      </c>
      <c r="F188" t="s">
        <v>999</v>
      </c>
      <c r="G188" t="s">
        <v>1000</v>
      </c>
      <c r="H188" t="s">
        <v>1001</v>
      </c>
      <c r="I188" t="s">
        <v>1002</v>
      </c>
      <c r="J188">
        <f t="shared" si="8"/>
        <v>2200.0445</v>
      </c>
      <c r="K188" t="str">
        <f t="shared" si="9"/>
        <v xml:space="preserve">Joao Silva</v>
      </c>
    </row>
    <row r="189">
      <c r="A189">
        <v>10647</v>
      </c>
      <c r="B189" s="24">
        <v>44911</v>
      </c>
      <c r="C189" t="s">
        <v>1003</v>
      </c>
      <c r="D189" s="25">
        <v>3.4900000000000002</v>
      </c>
      <c r="E189" s="26">
        <v>630.37</v>
      </c>
      <c r="F189" t="s">
        <v>1004</v>
      </c>
      <c r="G189" t="s">
        <v>1005</v>
      </c>
      <c r="H189" t="s">
        <v>1006</v>
      </c>
      <c r="I189" t="s">
        <v>1007</v>
      </c>
      <c r="J189">
        <f t="shared" si="8"/>
        <v>2199.9913000000001</v>
      </c>
      <c r="K189" t="str">
        <f t="shared" si="9"/>
        <v xml:space="preserve">Joao Silva</v>
      </c>
    </row>
    <row r="190">
      <c r="A190">
        <v>10648</v>
      </c>
      <c r="B190" s="24">
        <v>44911</v>
      </c>
      <c r="C190" t="s">
        <v>1008</v>
      </c>
      <c r="D190" s="25">
        <v>2.9500000000000002</v>
      </c>
      <c r="E190" s="26">
        <v>745.75999999999999</v>
      </c>
      <c r="F190" t="s">
        <v>1009</v>
      </c>
      <c r="G190" t="s">
        <v>1010</v>
      </c>
      <c r="H190" t="s">
        <v>1011</v>
      </c>
      <c r="I190" t="s">
        <v>1012</v>
      </c>
      <c r="J190">
        <f t="shared" si="8"/>
        <v>2199.9920000000002</v>
      </c>
      <c r="K190" t="str">
        <f t="shared" si="9"/>
        <v xml:space="preserve">Joao Silva</v>
      </c>
    </row>
    <row r="191">
      <c r="A191">
        <v>10649</v>
      </c>
      <c r="B191" s="24">
        <v>44911</v>
      </c>
      <c r="C191" t="s">
        <v>1013</v>
      </c>
      <c r="D191" s="25">
        <v>4.9900000000000002</v>
      </c>
      <c r="E191" s="27">
        <v>200.40000000000001</v>
      </c>
      <c r="F191" t="s">
        <v>1014</v>
      </c>
      <c r="G191" t="s">
        <v>1015</v>
      </c>
      <c r="H191" t="s">
        <v>1016</v>
      </c>
      <c r="I191" t="s">
        <v>1017</v>
      </c>
      <c r="J191">
        <f t="shared" si="8"/>
        <v>999.99600000000009</v>
      </c>
      <c r="K191" t="str">
        <f t="shared" si="9"/>
        <v xml:space="preserve">Joao Silva</v>
      </c>
    </row>
    <row r="192">
      <c r="A192">
        <v>10650</v>
      </c>
      <c r="B192" s="24">
        <v>44912</v>
      </c>
      <c r="C192" t="s">
        <v>1018</v>
      </c>
      <c r="D192" s="28">
        <v>12.99</v>
      </c>
      <c r="E192" s="26">
        <v>585.07000000000005</v>
      </c>
      <c r="F192" t="s">
        <v>1019</v>
      </c>
      <c r="G192" t="s">
        <v>1020</v>
      </c>
      <c r="H192" t="s">
        <v>1021</v>
      </c>
      <c r="I192" t="s">
        <v>1022</v>
      </c>
      <c r="J192">
        <f t="shared" si="8"/>
        <v>7600.0593000000008</v>
      </c>
      <c r="K192" t="str">
        <f t="shared" si="9"/>
        <v xml:space="preserve">Joao Silva</v>
      </c>
    </row>
    <row r="193">
      <c r="A193">
        <v>10651</v>
      </c>
      <c r="B193" s="24">
        <v>44912</v>
      </c>
      <c r="C193" t="s">
        <v>1023</v>
      </c>
      <c r="D193" s="25">
        <v>9.9499999999999993</v>
      </c>
      <c r="E193" s="26">
        <v>221.11000000000001</v>
      </c>
      <c r="F193" t="s">
        <v>1024</v>
      </c>
      <c r="G193" t="s">
        <v>1025</v>
      </c>
      <c r="H193" t="s">
        <v>1026</v>
      </c>
      <c r="I193" t="s">
        <v>1027</v>
      </c>
      <c r="J193">
        <f t="shared" si="8"/>
        <v>2200.0445</v>
      </c>
      <c r="K193" t="str">
        <f t="shared" si="9"/>
        <v xml:space="preserve">Joao Silva</v>
      </c>
    </row>
    <row r="194">
      <c r="A194">
        <v>10652</v>
      </c>
      <c r="B194" s="24">
        <v>44912</v>
      </c>
      <c r="C194" t="s">
        <v>1028</v>
      </c>
      <c r="D194" s="25">
        <v>3.4900000000000002</v>
      </c>
      <c r="E194" s="26">
        <v>687.67999999999995</v>
      </c>
      <c r="F194" t="s">
        <v>1029</v>
      </c>
      <c r="G194" t="s">
        <v>1030</v>
      </c>
      <c r="H194" t="s">
        <v>1031</v>
      </c>
      <c r="I194" t="s">
        <v>1032</v>
      </c>
      <c r="J194">
        <f t="shared" si="8"/>
        <v>2400.0032000000001</v>
      </c>
      <c r="K194" t="str">
        <f t="shared" si="9"/>
        <v xml:space="preserve">Joao Silva</v>
      </c>
    </row>
    <row r="195">
      <c r="A195">
        <v>10653</v>
      </c>
      <c r="B195" s="24">
        <v>44912</v>
      </c>
      <c r="C195" t="s">
        <v>1033</v>
      </c>
      <c r="D195" s="25">
        <v>2.9500000000000002</v>
      </c>
      <c r="E195" s="26">
        <v>745.75999999999999</v>
      </c>
      <c r="F195" t="s">
        <v>1034</v>
      </c>
      <c r="G195" t="s">
        <v>1035</v>
      </c>
      <c r="H195" t="s">
        <v>1036</v>
      </c>
      <c r="I195" t="s">
        <v>1037</v>
      </c>
      <c r="J195">
        <f t="shared" si="8"/>
        <v>2199.9920000000002</v>
      </c>
      <c r="K195" t="str">
        <f t="shared" si="9"/>
        <v xml:space="preserve">Joao Silva</v>
      </c>
    </row>
    <row r="196">
      <c r="A196">
        <v>10654</v>
      </c>
      <c r="B196" s="24">
        <v>44912</v>
      </c>
      <c r="C196" t="s">
        <v>1038</v>
      </c>
      <c r="D196" s="25">
        <v>4.9900000000000002</v>
      </c>
      <c r="E196" s="27">
        <v>200.40000000000001</v>
      </c>
      <c r="F196" t="s">
        <v>1039</v>
      </c>
      <c r="G196" t="s">
        <v>1040</v>
      </c>
      <c r="H196" t="s">
        <v>1041</v>
      </c>
      <c r="I196" t="s">
        <v>1042</v>
      </c>
      <c r="J196">
        <f t="shared" si="8"/>
        <v>999.99600000000009</v>
      </c>
      <c r="K196" t="str">
        <f t="shared" si="9"/>
        <v xml:space="preserve">Joao Silva</v>
      </c>
    </row>
    <row r="197">
      <c r="A197">
        <v>10655</v>
      </c>
      <c r="B197" s="24">
        <v>44913</v>
      </c>
      <c r="C197" t="s">
        <v>1043</v>
      </c>
      <c r="D197" s="28">
        <v>12.99</v>
      </c>
      <c r="E197" s="26">
        <v>600.46000000000004</v>
      </c>
      <c r="F197" t="s">
        <v>1044</v>
      </c>
      <c r="G197" t="s">
        <v>1045</v>
      </c>
      <c r="H197" t="s">
        <v>1046</v>
      </c>
      <c r="I197" t="s">
        <v>1047</v>
      </c>
      <c r="J197">
        <f t="shared" si="8"/>
        <v>7799.9754000000003</v>
      </c>
      <c r="K197" t="str">
        <f t="shared" si="9"/>
        <v xml:space="preserve">Joao Silva</v>
      </c>
    </row>
    <row r="198">
      <c r="A198">
        <v>10656</v>
      </c>
      <c r="B198" s="24">
        <v>44913</v>
      </c>
      <c r="C198" t="s">
        <v>1048</v>
      </c>
      <c r="D198" s="25">
        <v>9.9499999999999993</v>
      </c>
      <c r="E198" s="26">
        <v>221.11000000000001</v>
      </c>
      <c r="F198" t="s">
        <v>1049</v>
      </c>
      <c r="G198" t="s">
        <v>1050</v>
      </c>
      <c r="H198" t="s">
        <v>1051</v>
      </c>
      <c r="I198" t="s">
        <v>1052</v>
      </c>
      <c r="J198">
        <f t="shared" si="8"/>
        <v>2200.0445</v>
      </c>
      <c r="K198" t="str">
        <f t="shared" si="9"/>
        <v xml:space="preserve">Joao Silva</v>
      </c>
    </row>
    <row r="199">
      <c r="A199">
        <v>10657</v>
      </c>
      <c r="B199" s="24">
        <v>44913</v>
      </c>
      <c r="C199" t="s">
        <v>1053</v>
      </c>
      <c r="D199" s="25">
        <v>3.4900000000000002</v>
      </c>
      <c r="E199" s="26">
        <v>687.67999999999995</v>
      </c>
      <c r="F199" t="s">
        <v>1054</v>
      </c>
      <c r="G199" t="s">
        <v>1055</v>
      </c>
      <c r="H199" t="s">
        <v>1056</v>
      </c>
      <c r="I199" t="s">
        <v>1057</v>
      </c>
      <c r="J199">
        <f t="shared" si="8"/>
        <v>2400.0032000000001</v>
      </c>
      <c r="K199" t="str">
        <f t="shared" si="9"/>
        <v xml:space="preserve">Joao Silva</v>
      </c>
    </row>
    <row r="200">
      <c r="A200">
        <v>10658</v>
      </c>
      <c r="B200" s="24">
        <v>44913</v>
      </c>
      <c r="C200" t="s">
        <v>1058</v>
      </c>
      <c r="D200" s="25">
        <v>2.9500000000000002</v>
      </c>
      <c r="E200" s="26">
        <v>745.75999999999999</v>
      </c>
      <c r="F200" t="s">
        <v>1059</v>
      </c>
      <c r="G200" t="s">
        <v>1060</v>
      </c>
      <c r="H200" t="s">
        <v>1061</v>
      </c>
      <c r="I200" t="s">
        <v>1062</v>
      </c>
      <c r="J200">
        <f t="shared" si="8"/>
        <v>2199.9920000000002</v>
      </c>
      <c r="K200" t="str">
        <f t="shared" si="9"/>
        <v xml:space="preserve">Joao Silva</v>
      </c>
    </row>
    <row r="201">
      <c r="A201">
        <v>10659</v>
      </c>
      <c r="B201" s="24">
        <v>44913</v>
      </c>
      <c r="C201" t="s">
        <v>1063</v>
      </c>
      <c r="D201" s="25">
        <v>4.9900000000000002</v>
      </c>
      <c r="E201" s="27">
        <v>200.40000000000001</v>
      </c>
      <c r="F201" t="s">
        <v>16</v>
      </c>
      <c r="G201" t="s">
        <v>1064</v>
      </c>
      <c r="H201" t="s">
        <v>1065</v>
      </c>
      <c r="I201" t="s">
        <v>1066</v>
      </c>
      <c r="J201">
        <f t="shared" si="8"/>
        <v>999.99600000000009</v>
      </c>
      <c r="K201" t="str">
        <f t="shared" si="9"/>
        <v xml:space="preserve">Joao Silva</v>
      </c>
    </row>
    <row r="202">
      <c r="A202">
        <v>10660</v>
      </c>
      <c r="B202" s="24">
        <v>44914</v>
      </c>
      <c r="C202" t="s">
        <v>1067</v>
      </c>
      <c r="D202" s="28">
        <v>12.99</v>
      </c>
      <c r="E202" s="26">
        <v>631.25</v>
      </c>
      <c r="F202" t="s">
        <v>1068</v>
      </c>
      <c r="G202" t="s">
        <v>1069</v>
      </c>
      <c r="H202" t="s">
        <v>1070</v>
      </c>
      <c r="I202" t="s">
        <v>1071</v>
      </c>
      <c r="J202">
        <f t="shared" si="8"/>
        <v>8199.9375</v>
      </c>
      <c r="K202" t="str">
        <f t="shared" si="9"/>
        <v xml:space="preserve">Joao Silva</v>
      </c>
    </row>
    <row r="203">
      <c r="A203">
        <v>10661</v>
      </c>
      <c r="B203" s="24">
        <v>44914</v>
      </c>
      <c r="C203" t="s">
        <v>1072</v>
      </c>
      <c r="D203" s="25">
        <v>9.9499999999999993</v>
      </c>
      <c r="E203" s="26">
        <v>221.11000000000001</v>
      </c>
      <c r="F203" t="s">
        <v>1073</v>
      </c>
      <c r="G203" t="s">
        <v>1074</v>
      </c>
      <c r="H203" t="s">
        <v>1075</v>
      </c>
      <c r="I203" t="s">
        <v>1076</v>
      </c>
      <c r="J203">
        <f t="shared" si="8"/>
        <v>2200.0445</v>
      </c>
      <c r="K203" t="str">
        <f t="shared" si="9"/>
        <v xml:space="preserve">Joao Silva</v>
      </c>
    </row>
    <row r="204">
      <c r="A204">
        <v>10662</v>
      </c>
      <c r="B204" s="24">
        <v>44914</v>
      </c>
      <c r="C204" t="s">
        <v>1077</v>
      </c>
      <c r="D204" s="25">
        <v>3.4900000000000002</v>
      </c>
      <c r="E204" s="26">
        <v>630.37</v>
      </c>
      <c r="F204" t="s">
        <v>1078</v>
      </c>
      <c r="G204" t="s">
        <v>1079</v>
      </c>
      <c r="H204" t="s">
        <v>1080</v>
      </c>
      <c r="I204" t="s">
        <v>1081</v>
      </c>
      <c r="J204">
        <f t="shared" si="8"/>
        <v>2199.9913000000001</v>
      </c>
      <c r="K204" t="str">
        <f t="shared" si="9"/>
        <v xml:space="preserve">Joao Silva</v>
      </c>
    </row>
    <row r="205">
      <c r="A205">
        <v>10663</v>
      </c>
      <c r="B205" s="24">
        <v>44914</v>
      </c>
      <c r="C205" t="s">
        <v>1082</v>
      </c>
      <c r="D205" s="25">
        <v>2.9500000000000002</v>
      </c>
      <c r="E205" s="26">
        <v>745.75999999999999</v>
      </c>
      <c r="F205" t="s">
        <v>1083</v>
      </c>
      <c r="G205" t="s">
        <v>1084</v>
      </c>
      <c r="H205" t="s">
        <v>1085</v>
      </c>
      <c r="I205" t="s">
        <v>1086</v>
      </c>
      <c r="J205">
        <f t="shared" si="8"/>
        <v>2199.9920000000002</v>
      </c>
      <c r="K205" t="str">
        <f t="shared" si="9"/>
        <v xml:space="preserve">Joao Silva</v>
      </c>
    </row>
    <row r="206">
      <c r="A206">
        <v>10664</v>
      </c>
      <c r="B206" s="24">
        <v>44914</v>
      </c>
      <c r="C206" t="s">
        <v>1087</v>
      </c>
      <c r="D206" s="25">
        <v>4.9900000000000002</v>
      </c>
      <c r="E206" s="27">
        <v>200.40000000000001</v>
      </c>
      <c r="F206" t="s">
        <v>1088</v>
      </c>
      <c r="G206" t="s">
        <v>1089</v>
      </c>
      <c r="H206" t="s">
        <v>1090</v>
      </c>
      <c r="I206" t="s">
        <v>1091</v>
      </c>
      <c r="J206">
        <f t="shared" si="8"/>
        <v>999.99600000000009</v>
      </c>
      <c r="K206" t="str">
        <f t="shared" si="9"/>
        <v xml:space="preserve">Joao Silva</v>
      </c>
    </row>
    <row r="207">
      <c r="A207">
        <v>10665</v>
      </c>
      <c r="B207" s="24">
        <v>44915</v>
      </c>
      <c r="C207" t="s">
        <v>1092</v>
      </c>
      <c r="D207" s="28">
        <v>12.99</v>
      </c>
      <c r="E207" s="26">
        <v>646.64999999999998</v>
      </c>
      <c r="F207" t="s">
        <v>1093</v>
      </c>
      <c r="G207" t="s">
        <v>1094</v>
      </c>
      <c r="H207" t="s">
        <v>1095</v>
      </c>
      <c r="I207" t="s">
        <v>1096</v>
      </c>
      <c r="J207">
        <f t="shared" si="8"/>
        <v>8399.9835000000003</v>
      </c>
      <c r="K207" t="str">
        <f t="shared" si="9"/>
        <v xml:space="preserve">Joao Silva</v>
      </c>
    </row>
    <row r="208">
      <c r="A208">
        <v>10666</v>
      </c>
      <c r="B208" s="24">
        <v>44915</v>
      </c>
      <c r="C208" t="s">
        <v>1097</v>
      </c>
      <c r="D208" s="25">
        <v>9.9499999999999993</v>
      </c>
      <c r="E208" s="26">
        <v>221.11000000000001</v>
      </c>
      <c r="F208" t="s">
        <v>1098</v>
      </c>
      <c r="G208" t="s">
        <v>1099</v>
      </c>
      <c r="H208" t="s">
        <v>1100</v>
      </c>
      <c r="I208" t="s">
        <v>1101</v>
      </c>
      <c r="J208">
        <f t="shared" si="8"/>
        <v>2200.0445</v>
      </c>
      <c r="K208" t="str">
        <f t="shared" si="9"/>
        <v xml:space="preserve">Joao Silva</v>
      </c>
    </row>
    <row r="209">
      <c r="A209">
        <v>10667</v>
      </c>
      <c r="B209" s="24">
        <v>44915</v>
      </c>
      <c r="C209" t="s">
        <v>1102</v>
      </c>
      <c r="D209" s="25">
        <v>3.4900000000000002</v>
      </c>
      <c r="E209" s="26">
        <v>630.37</v>
      </c>
      <c r="F209" t="s">
        <v>1103</v>
      </c>
      <c r="G209" t="s">
        <v>1104</v>
      </c>
      <c r="H209" t="s">
        <v>1105</v>
      </c>
      <c r="I209" t="s">
        <v>1106</v>
      </c>
      <c r="J209">
        <f t="shared" si="8"/>
        <v>2199.9913000000001</v>
      </c>
      <c r="K209" t="str">
        <f t="shared" si="9"/>
        <v xml:space="preserve">Joao Silva</v>
      </c>
    </row>
    <row r="210">
      <c r="A210">
        <v>10668</v>
      </c>
      <c r="B210" s="24">
        <v>44915</v>
      </c>
      <c r="C210" t="s">
        <v>1107</v>
      </c>
      <c r="D210" s="25">
        <v>2.9500000000000002</v>
      </c>
      <c r="E210" s="26">
        <v>745.75999999999999</v>
      </c>
      <c r="F210" t="s">
        <v>1108</v>
      </c>
      <c r="G210" t="s">
        <v>1109</v>
      </c>
      <c r="H210" t="s">
        <v>1110</v>
      </c>
      <c r="I210" t="s">
        <v>1111</v>
      </c>
      <c r="J210">
        <f t="shared" si="8"/>
        <v>2199.9920000000002</v>
      </c>
      <c r="K210" t="str">
        <f t="shared" si="9"/>
        <v xml:space="preserve">Joao Silva</v>
      </c>
    </row>
    <row r="211">
      <c r="A211">
        <v>10669</v>
      </c>
      <c r="B211" s="24">
        <v>44915</v>
      </c>
      <c r="C211" t="s">
        <v>1112</v>
      </c>
      <c r="D211" s="25">
        <v>4.9900000000000002</v>
      </c>
      <c r="E211" s="27">
        <v>200.40000000000001</v>
      </c>
      <c r="F211" t="s">
        <v>1113</v>
      </c>
      <c r="G211" t="s">
        <v>1114</v>
      </c>
      <c r="H211" t="s">
        <v>1115</v>
      </c>
      <c r="I211" t="s">
        <v>1116</v>
      </c>
      <c r="J211">
        <f t="shared" si="8"/>
        <v>999.99600000000009</v>
      </c>
      <c r="K211" t="str">
        <f t="shared" si="9"/>
        <v xml:space="preserve">Joao Silva</v>
      </c>
    </row>
    <row r="212">
      <c r="A212">
        <v>10670</v>
      </c>
      <c r="B212" s="24">
        <v>44916</v>
      </c>
      <c r="C212" t="s">
        <v>1117</v>
      </c>
      <c r="D212" s="28">
        <v>12.99</v>
      </c>
      <c r="E212" s="26">
        <v>677.44000000000005</v>
      </c>
      <c r="F212" t="s">
        <v>1118</v>
      </c>
      <c r="G212" t="s">
        <v>1119</v>
      </c>
      <c r="H212" t="s">
        <v>1120</v>
      </c>
      <c r="I212" t="s">
        <v>1121</v>
      </c>
      <c r="J212">
        <f t="shared" si="8"/>
        <v>8799.9456000000009</v>
      </c>
      <c r="K212" t="str">
        <f t="shared" si="9"/>
        <v xml:space="preserve">Joao Silva</v>
      </c>
    </row>
    <row r="213">
      <c r="A213">
        <v>10671</v>
      </c>
      <c r="B213" s="24">
        <v>44916</v>
      </c>
      <c r="C213" t="s">
        <v>1122</v>
      </c>
      <c r="D213" s="25">
        <v>9.9499999999999993</v>
      </c>
      <c r="E213" s="26">
        <v>221.11000000000001</v>
      </c>
      <c r="F213" t="s">
        <v>1123</v>
      </c>
      <c r="G213" t="s">
        <v>1124</v>
      </c>
      <c r="H213" t="s">
        <v>1125</v>
      </c>
      <c r="I213" t="s">
        <v>1126</v>
      </c>
      <c r="J213">
        <f t="shared" si="8"/>
        <v>2200.0445</v>
      </c>
      <c r="K213" t="str">
        <f t="shared" si="9"/>
        <v xml:space="preserve">Joao Silva</v>
      </c>
    </row>
    <row r="214">
      <c r="A214">
        <v>10672</v>
      </c>
      <c r="B214" s="24">
        <v>44916</v>
      </c>
      <c r="C214" t="s">
        <v>1127</v>
      </c>
      <c r="D214" s="25">
        <v>3.4900000000000002</v>
      </c>
      <c r="E214" s="26">
        <v>630.37</v>
      </c>
      <c r="F214" t="s">
        <v>1128</v>
      </c>
      <c r="G214" t="s">
        <v>1129</v>
      </c>
      <c r="H214" t="s">
        <v>1130</v>
      </c>
      <c r="I214" t="s">
        <v>1131</v>
      </c>
      <c r="J214">
        <f t="shared" si="8"/>
        <v>2199.9913000000001</v>
      </c>
      <c r="K214" t="str">
        <f t="shared" si="9"/>
        <v xml:space="preserve">Joao Silva</v>
      </c>
    </row>
    <row r="215">
      <c r="A215">
        <v>10673</v>
      </c>
      <c r="B215" s="24">
        <v>44916</v>
      </c>
      <c r="C215" t="s">
        <v>1132</v>
      </c>
      <c r="D215" s="25">
        <v>2.9500000000000002</v>
      </c>
      <c r="E215" s="26">
        <v>745.75999999999999</v>
      </c>
      <c r="F215" t="s">
        <v>1133</v>
      </c>
      <c r="G215" t="s">
        <v>1134</v>
      </c>
      <c r="H215" t="s">
        <v>1135</v>
      </c>
      <c r="I215" t="s">
        <v>1136</v>
      </c>
      <c r="J215">
        <f t="shared" si="8"/>
        <v>2199.9920000000002</v>
      </c>
      <c r="K215" t="str">
        <f t="shared" si="9"/>
        <v xml:space="preserve">Joao Silva</v>
      </c>
    </row>
    <row r="216">
      <c r="A216">
        <v>10674</v>
      </c>
      <c r="B216" s="24">
        <v>44916</v>
      </c>
      <c r="C216" t="s">
        <v>1137</v>
      </c>
      <c r="D216" s="25">
        <v>4.9900000000000002</v>
      </c>
      <c r="E216" s="27">
        <v>200.40000000000001</v>
      </c>
      <c r="F216" t="s">
        <v>1138</v>
      </c>
      <c r="G216" t="s">
        <v>1139</v>
      </c>
      <c r="H216" t="s">
        <v>1140</v>
      </c>
      <c r="I216" t="s">
        <v>1141</v>
      </c>
      <c r="J216">
        <f t="shared" si="8"/>
        <v>999.99600000000009</v>
      </c>
      <c r="K216" t="str">
        <f t="shared" si="9"/>
        <v xml:space="preserve">Joao Silva</v>
      </c>
    </row>
    <row r="217">
      <c r="A217">
        <v>10675</v>
      </c>
      <c r="B217" s="24">
        <v>44917</v>
      </c>
      <c r="C217" t="s">
        <v>1142</v>
      </c>
      <c r="D217" s="28">
        <v>12.99</v>
      </c>
      <c r="E217" s="26">
        <v>677.44000000000005</v>
      </c>
      <c r="F217" t="s">
        <v>1143</v>
      </c>
      <c r="G217" t="s">
        <v>1144</v>
      </c>
      <c r="H217" t="s">
        <v>1145</v>
      </c>
      <c r="I217" t="s">
        <v>1146</v>
      </c>
      <c r="J217">
        <f t="shared" si="8"/>
        <v>8799.9456000000009</v>
      </c>
      <c r="K217" t="str">
        <f t="shared" si="9"/>
        <v xml:space="preserve">Joao Silva</v>
      </c>
    </row>
    <row r="218">
      <c r="A218">
        <v>10676</v>
      </c>
      <c r="B218" s="24">
        <v>44917</v>
      </c>
      <c r="C218" t="s">
        <v>1147</v>
      </c>
      <c r="D218" s="25">
        <v>9.9499999999999993</v>
      </c>
      <c r="E218" s="26">
        <v>241.21000000000001</v>
      </c>
      <c r="F218" t="s">
        <v>1148</v>
      </c>
      <c r="G218" t="s">
        <v>1149</v>
      </c>
      <c r="H218" t="s">
        <v>1150</v>
      </c>
      <c r="I218" t="s">
        <v>1151</v>
      </c>
      <c r="J218">
        <f t="shared" si="8"/>
        <v>2400.0394999999999</v>
      </c>
      <c r="K218" t="str">
        <f t="shared" si="9"/>
        <v xml:space="preserve">Joao Silva</v>
      </c>
    </row>
    <row r="219">
      <c r="A219">
        <v>10677</v>
      </c>
      <c r="B219" s="24">
        <v>44917</v>
      </c>
      <c r="C219" t="s">
        <v>1152</v>
      </c>
      <c r="D219" s="25">
        <v>3.4900000000000002</v>
      </c>
      <c r="E219" s="26">
        <v>630.37</v>
      </c>
      <c r="F219" t="s">
        <v>1153</v>
      </c>
      <c r="G219" t="s">
        <v>1154</v>
      </c>
      <c r="H219" t="s">
        <v>1155</v>
      </c>
      <c r="I219" t="s">
        <v>1156</v>
      </c>
      <c r="J219">
        <f t="shared" si="8"/>
        <v>2199.9913000000001</v>
      </c>
      <c r="K219" t="str">
        <f t="shared" si="9"/>
        <v xml:space="preserve">Joao Silva</v>
      </c>
    </row>
    <row r="220">
      <c r="A220">
        <v>10678</v>
      </c>
      <c r="B220" s="24">
        <v>44917</v>
      </c>
      <c r="C220" t="s">
        <v>1157</v>
      </c>
      <c r="D220" s="25">
        <v>2.9500000000000002</v>
      </c>
      <c r="E220" s="26">
        <v>745.75999999999999</v>
      </c>
      <c r="F220" t="s">
        <v>1158</v>
      </c>
      <c r="G220" t="s">
        <v>1159</v>
      </c>
      <c r="H220" t="s">
        <v>1160</v>
      </c>
      <c r="I220" t="s">
        <v>1161</v>
      </c>
      <c r="J220">
        <f t="shared" si="8"/>
        <v>2199.9920000000002</v>
      </c>
      <c r="K220" t="str">
        <f t="shared" si="9"/>
        <v xml:space="preserve">Joao Silva</v>
      </c>
    </row>
    <row r="221">
      <c r="A221">
        <v>10679</v>
      </c>
      <c r="B221" s="24">
        <v>44917</v>
      </c>
      <c r="C221" t="s">
        <v>1162</v>
      </c>
      <c r="D221" s="25">
        <v>4.9900000000000002</v>
      </c>
      <c r="E221" s="27">
        <v>200.40000000000001</v>
      </c>
      <c r="F221" t="s">
        <v>1163</v>
      </c>
      <c r="G221" t="s">
        <v>1164</v>
      </c>
      <c r="H221" t="s">
        <v>1165</v>
      </c>
      <c r="I221" t="s">
        <v>1166</v>
      </c>
      <c r="J221">
        <f t="shared" si="8"/>
        <v>999.99600000000009</v>
      </c>
      <c r="K221" t="str">
        <f t="shared" si="9"/>
        <v xml:space="preserve">Joao Silva</v>
      </c>
    </row>
    <row r="222">
      <c r="A222">
        <v>10680</v>
      </c>
      <c r="B222" s="24">
        <v>44918</v>
      </c>
      <c r="C222" t="s">
        <v>1167</v>
      </c>
      <c r="D222" s="28">
        <v>12.99</v>
      </c>
      <c r="E222" s="26">
        <v>646.64999999999998</v>
      </c>
      <c r="F222" t="s">
        <v>1168</v>
      </c>
      <c r="G222" t="s">
        <v>1169</v>
      </c>
      <c r="H222" t="s">
        <v>1170</v>
      </c>
      <c r="I222" t="s">
        <v>1171</v>
      </c>
      <c r="J222">
        <f t="shared" si="8"/>
        <v>8399.9835000000003</v>
      </c>
      <c r="K222" t="str">
        <f t="shared" si="9"/>
        <v xml:space="preserve">Joao Silva</v>
      </c>
    </row>
    <row r="223">
      <c r="A223">
        <v>10681</v>
      </c>
      <c r="B223" s="24">
        <v>44918</v>
      </c>
      <c r="C223" t="s">
        <v>1172</v>
      </c>
      <c r="D223" s="25">
        <v>9.9499999999999993</v>
      </c>
      <c r="E223" s="26">
        <v>241.21000000000001</v>
      </c>
      <c r="F223" t="s">
        <v>1173</v>
      </c>
      <c r="G223" t="s">
        <v>1174</v>
      </c>
      <c r="H223" t="s">
        <v>1175</v>
      </c>
      <c r="I223" t="s">
        <v>1176</v>
      </c>
      <c r="J223">
        <f t="shared" si="8"/>
        <v>2400.0394999999999</v>
      </c>
      <c r="K223" t="str">
        <f t="shared" si="9"/>
        <v xml:space="preserve">Joao Silva</v>
      </c>
    </row>
    <row r="224">
      <c r="A224">
        <v>10682</v>
      </c>
      <c r="B224" s="24">
        <v>44918</v>
      </c>
      <c r="C224" t="s">
        <v>1177</v>
      </c>
      <c r="D224" s="25">
        <v>3.4900000000000002</v>
      </c>
      <c r="E224" s="26">
        <v>630.37</v>
      </c>
      <c r="F224" t="s">
        <v>1178</v>
      </c>
      <c r="G224" t="s">
        <v>1179</v>
      </c>
      <c r="H224" t="s">
        <v>1180</v>
      </c>
      <c r="I224" t="s">
        <v>1181</v>
      </c>
      <c r="J224">
        <f t="shared" si="8"/>
        <v>2199.9913000000001</v>
      </c>
      <c r="K224" t="str">
        <f t="shared" si="9"/>
        <v xml:space="preserve">Joao Silva</v>
      </c>
    </row>
    <row r="225">
      <c r="A225">
        <v>10683</v>
      </c>
      <c r="B225" s="24">
        <v>44918</v>
      </c>
      <c r="C225" t="s">
        <v>1182</v>
      </c>
      <c r="D225" s="25">
        <v>2.9500000000000002</v>
      </c>
      <c r="E225" s="26">
        <v>677.97000000000003</v>
      </c>
      <c r="F225" t="s">
        <v>1183</v>
      </c>
      <c r="G225" t="s">
        <v>1184</v>
      </c>
      <c r="H225" t="s">
        <v>1185</v>
      </c>
      <c r="I225" t="s">
        <v>1186</v>
      </c>
      <c r="J225">
        <f t="shared" si="8"/>
        <v>2000.0115000000003</v>
      </c>
      <c r="K225" t="str">
        <f t="shared" si="9"/>
        <v xml:space="preserve">Joao Silva</v>
      </c>
    </row>
    <row r="226">
      <c r="A226">
        <v>10684</v>
      </c>
      <c r="B226" s="24">
        <v>44918</v>
      </c>
      <c r="C226" t="s">
        <v>1187</v>
      </c>
      <c r="D226" s="25">
        <v>4.9900000000000002</v>
      </c>
      <c r="E226" s="27">
        <v>200.40000000000001</v>
      </c>
      <c r="F226" t="s">
        <v>1188</v>
      </c>
      <c r="G226" t="s">
        <v>1189</v>
      </c>
      <c r="H226" t="s">
        <v>1190</v>
      </c>
      <c r="I226" t="s">
        <v>1191</v>
      </c>
      <c r="J226">
        <f t="shared" si="8"/>
        <v>999.99600000000009</v>
      </c>
      <c r="K226" t="str">
        <f t="shared" si="9"/>
        <v xml:space="preserve">Joao Silva</v>
      </c>
    </row>
    <row r="227">
      <c r="A227">
        <v>10685</v>
      </c>
      <c r="B227" s="24">
        <v>44919</v>
      </c>
      <c r="C227" t="s">
        <v>1192</v>
      </c>
      <c r="D227" s="28">
        <v>12.99</v>
      </c>
      <c r="E227" s="26">
        <v>677.44000000000005</v>
      </c>
      <c r="F227" t="s">
        <v>1193</v>
      </c>
      <c r="G227" t="s">
        <v>1194</v>
      </c>
      <c r="H227" t="s">
        <v>1195</v>
      </c>
      <c r="I227" t="s">
        <v>1196</v>
      </c>
      <c r="J227">
        <f t="shared" si="8"/>
        <v>8799.9456000000009</v>
      </c>
      <c r="K227" t="str">
        <f t="shared" si="9"/>
        <v xml:space="preserve">Joao Silva</v>
      </c>
    </row>
    <row r="228">
      <c r="A228">
        <v>10686</v>
      </c>
      <c r="B228" s="24">
        <v>44919</v>
      </c>
      <c r="C228" t="s">
        <v>1197</v>
      </c>
      <c r="D228" s="25">
        <v>9.9499999999999993</v>
      </c>
      <c r="E228" s="26">
        <v>241.21000000000001</v>
      </c>
      <c r="F228" t="s">
        <v>1198</v>
      </c>
      <c r="G228" t="s">
        <v>1199</v>
      </c>
      <c r="H228" t="s">
        <v>39</v>
      </c>
      <c r="I228" t="s">
        <v>38</v>
      </c>
      <c r="J228">
        <f t="shared" ref="J228:J255" si="10">D228*E228</f>
        <v>2400.0394999999999</v>
      </c>
      <c r="K228" t="str">
        <f t="shared" ref="K228:K255" si="11">TRIM(H228)</f>
        <v xml:space="preserve">Joao Silva</v>
      </c>
    </row>
    <row r="229">
      <c r="A229">
        <v>10687</v>
      </c>
      <c r="B229" s="24">
        <v>44919</v>
      </c>
      <c r="C229" t="s">
        <v>1200</v>
      </c>
      <c r="D229" s="25">
        <v>3.4900000000000002</v>
      </c>
      <c r="E229" s="26">
        <v>630.37</v>
      </c>
      <c r="F229" t="s">
        <v>1201</v>
      </c>
      <c r="G229" t="s">
        <v>1202</v>
      </c>
      <c r="H229" t="s">
        <v>1203</v>
      </c>
      <c r="I229" t="s">
        <v>1204</v>
      </c>
      <c r="J229">
        <f t="shared" si="10"/>
        <v>2199.9913000000001</v>
      </c>
      <c r="K229" t="str">
        <f t="shared" si="11"/>
        <v xml:space="preserve">Walter Muller</v>
      </c>
    </row>
    <row r="230">
      <c r="A230">
        <v>10688</v>
      </c>
      <c r="B230" s="24">
        <v>44919</v>
      </c>
      <c r="C230" t="s">
        <v>1205</v>
      </c>
      <c r="D230" s="25">
        <v>2.9500000000000002</v>
      </c>
      <c r="E230" s="26">
        <v>677.97000000000003</v>
      </c>
      <c r="F230" t="s">
        <v>1206</v>
      </c>
      <c r="G230" t="s">
        <v>1207</v>
      </c>
      <c r="H230" t="s">
        <v>1208</v>
      </c>
      <c r="I230" t="s">
        <v>1209</v>
      </c>
      <c r="J230">
        <f t="shared" si="10"/>
        <v>2000.0115000000003</v>
      </c>
      <c r="K230" t="str">
        <f t="shared" si="11"/>
        <v xml:space="preserve">Walter Muller</v>
      </c>
    </row>
    <row r="231">
      <c r="A231">
        <v>10689</v>
      </c>
      <c r="B231" s="24">
        <v>44919</v>
      </c>
      <c r="C231" t="s">
        <v>1210</v>
      </c>
      <c r="D231" s="25">
        <v>4.9900000000000002</v>
      </c>
      <c r="E231" s="27">
        <v>200.40000000000001</v>
      </c>
      <c r="F231" t="s">
        <v>1211</v>
      </c>
      <c r="G231" t="s">
        <v>1212</v>
      </c>
      <c r="H231" t="s">
        <v>1213</v>
      </c>
      <c r="I231" t="s">
        <v>1214</v>
      </c>
      <c r="J231">
        <f t="shared" si="10"/>
        <v>999.99600000000009</v>
      </c>
      <c r="K231" t="str">
        <f t="shared" si="11"/>
        <v xml:space="preserve">Walter Muller</v>
      </c>
    </row>
    <row r="232">
      <c r="A232">
        <v>10690</v>
      </c>
      <c r="B232" s="24">
        <v>44920</v>
      </c>
      <c r="C232" t="s">
        <v>1215</v>
      </c>
      <c r="D232" s="28">
        <v>12.99</v>
      </c>
      <c r="E232" s="26">
        <v>677.44000000000005</v>
      </c>
      <c r="F232" t="s">
        <v>1216</v>
      </c>
      <c r="G232" t="s">
        <v>1217</v>
      </c>
      <c r="H232" t="s">
        <v>1218</v>
      </c>
      <c r="I232" t="s">
        <v>1219</v>
      </c>
      <c r="J232">
        <f t="shared" si="10"/>
        <v>8799.9456000000009</v>
      </c>
      <c r="K232" t="str">
        <f t="shared" si="11"/>
        <v xml:space="preserve">Walter Muller</v>
      </c>
    </row>
    <row r="233">
      <c r="A233">
        <v>10691</v>
      </c>
      <c r="B233" s="24">
        <v>44920</v>
      </c>
      <c r="C233" t="s">
        <v>1220</v>
      </c>
      <c r="D233" s="25">
        <v>9.9499999999999993</v>
      </c>
      <c r="E233" s="26">
        <v>261.31</v>
      </c>
      <c r="F233" t="s">
        <v>1221</v>
      </c>
      <c r="G233" t="s">
        <v>1222</v>
      </c>
      <c r="H233" t="s">
        <v>1223</v>
      </c>
      <c r="I233" t="s">
        <v>1224</v>
      </c>
      <c r="J233">
        <f t="shared" si="10"/>
        <v>2600.0344999999998</v>
      </c>
      <c r="K233" t="str">
        <f t="shared" si="11"/>
        <v xml:space="preserve">Walter Muller</v>
      </c>
    </row>
    <row r="234">
      <c r="A234">
        <v>10692</v>
      </c>
      <c r="B234" s="24">
        <v>44920</v>
      </c>
      <c r="C234" t="s">
        <v>1225</v>
      </c>
      <c r="D234" s="25">
        <v>3.4900000000000002</v>
      </c>
      <c r="E234" s="26">
        <v>630.37</v>
      </c>
      <c r="F234" t="s">
        <v>1226</v>
      </c>
      <c r="G234" t="s">
        <v>1227</v>
      </c>
      <c r="H234" t="s">
        <v>1228</v>
      </c>
      <c r="I234" t="s">
        <v>1229</v>
      </c>
      <c r="J234">
        <f t="shared" si="10"/>
        <v>2199.9913000000001</v>
      </c>
      <c r="K234" t="str">
        <f t="shared" si="11"/>
        <v xml:space="preserve">Walter Muller</v>
      </c>
    </row>
    <row r="235">
      <c r="A235">
        <v>10693</v>
      </c>
      <c r="B235" s="24">
        <v>44920</v>
      </c>
      <c r="C235" t="s">
        <v>1230</v>
      </c>
      <c r="D235" s="25">
        <v>2.9500000000000002</v>
      </c>
      <c r="E235" s="26">
        <v>677.97000000000003</v>
      </c>
      <c r="F235" t="s">
        <v>1231</v>
      </c>
      <c r="G235" t="s">
        <v>1232</v>
      </c>
      <c r="H235" t="s">
        <v>1233</v>
      </c>
      <c r="I235" t="s">
        <v>1234</v>
      </c>
      <c r="J235">
        <f t="shared" si="10"/>
        <v>2000.0115000000003</v>
      </c>
      <c r="K235" t="str">
        <f t="shared" si="11"/>
        <v xml:space="preserve">Walter Muller</v>
      </c>
    </row>
    <row r="236">
      <c r="A236">
        <v>10694</v>
      </c>
      <c r="B236" s="24">
        <v>44920</v>
      </c>
      <c r="C236" t="s">
        <v>1235</v>
      </c>
      <c r="D236" s="25">
        <v>4.9900000000000002</v>
      </c>
      <c r="E236" s="27">
        <v>200.40000000000001</v>
      </c>
      <c r="F236" t="s">
        <v>1236</v>
      </c>
      <c r="G236" t="s">
        <v>1237</v>
      </c>
      <c r="H236" t="s">
        <v>1238</v>
      </c>
      <c r="I236" t="s">
        <v>1239</v>
      </c>
      <c r="J236">
        <f t="shared" si="10"/>
        <v>999.99600000000009</v>
      </c>
      <c r="K236" t="str">
        <f t="shared" si="11"/>
        <v xml:space="preserve">Walter Muller</v>
      </c>
    </row>
    <row r="237">
      <c r="A237">
        <v>10695</v>
      </c>
      <c r="B237" s="24">
        <v>44921</v>
      </c>
      <c r="C237" t="s">
        <v>1240</v>
      </c>
      <c r="D237" s="28">
        <v>12.99</v>
      </c>
      <c r="E237" s="26">
        <v>692.84000000000003</v>
      </c>
      <c r="F237" t="s">
        <v>1241</v>
      </c>
      <c r="G237" t="s">
        <v>1242</v>
      </c>
      <c r="H237" t="s">
        <v>1243</v>
      </c>
      <c r="I237" t="s">
        <v>1244</v>
      </c>
      <c r="J237">
        <f t="shared" si="10"/>
        <v>8999.9916000000012</v>
      </c>
      <c r="K237" t="str">
        <f t="shared" si="11"/>
        <v xml:space="preserve">Walter Muller</v>
      </c>
    </row>
    <row r="238">
      <c r="A238">
        <v>10696</v>
      </c>
      <c r="B238" s="24">
        <v>44921</v>
      </c>
      <c r="C238" t="s">
        <v>1245</v>
      </c>
      <c r="D238" s="25">
        <v>9.9499999999999993</v>
      </c>
      <c r="E238" s="26">
        <v>281.41000000000003</v>
      </c>
      <c r="F238" t="s">
        <v>1246</v>
      </c>
      <c r="G238" t="s">
        <v>1247</v>
      </c>
      <c r="H238" t="s">
        <v>1248</v>
      </c>
      <c r="I238" t="s">
        <v>1249</v>
      </c>
      <c r="J238">
        <f t="shared" si="10"/>
        <v>2800.0295000000001</v>
      </c>
      <c r="K238" t="str">
        <f t="shared" si="11"/>
        <v xml:space="preserve">Walter Muller</v>
      </c>
    </row>
    <row r="239">
      <c r="A239">
        <v>10697</v>
      </c>
      <c r="B239" s="24">
        <v>44921</v>
      </c>
      <c r="C239" t="s">
        <v>1250</v>
      </c>
      <c r="D239" s="25">
        <v>3.4900000000000002</v>
      </c>
      <c r="E239" s="26">
        <v>630.37</v>
      </c>
      <c r="F239" t="s">
        <v>1251</v>
      </c>
      <c r="G239" t="s">
        <v>1252</v>
      </c>
      <c r="H239" t="s">
        <v>1253</v>
      </c>
      <c r="I239" t="s">
        <v>1254</v>
      </c>
      <c r="J239">
        <f t="shared" si="10"/>
        <v>2199.9913000000001</v>
      </c>
      <c r="K239" t="str">
        <f t="shared" si="11"/>
        <v xml:space="preserve">Walter Muller</v>
      </c>
    </row>
    <row r="240">
      <c r="A240">
        <v>10698</v>
      </c>
      <c r="B240" s="24">
        <v>44921</v>
      </c>
      <c r="C240" t="s">
        <v>1255</v>
      </c>
      <c r="D240" s="25">
        <v>2.9500000000000002</v>
      </c>
      <c r="E240" s="26">
        <v>677.97000000000003</v>
      </c>
      <c r="F240" t="s">
        <v>1256</v>
      </c>
      <c r="G240" t="s">
        <v>1257</v>
      </c>
      <c r="H240" t="s">
        <v>1258</v>
      </c>
      <c r="I240" t="s">
        <v>1259</v>
      </c>
      <c r="J240">
        <f t="shared" si="10"/>
        <v>2000.0115000000003</v>
      </c>
      <c r="K240" t="str">
        <f t="shared" si="11"/>
        <v xml:space="preserve">Walter Muller</v>
      </c>
    </row>
    <row r="241">
      <c r="A241">
        <v>10699</v>
      </c>
      <c r="B241" s="24">
        <v>44921</v>
      </c>
      <c r="C241" t="s">
        <v>1260</v>
      </c>
      <c r="D241" s="25">
        <v>4.9900000000000002</v>
      </c>
      <c r="E241" s="27">
        <v>200.40000000000001</v>
      </c>
      <c r="F241" t="s">
        <v>1261</v>
      </c>
      <c r="G241" t="s">
        <v>1262</v>
      </c>
      <c r="H241" t="s">
        <v>1263</v>
      </c>
      <c r="I241" t="s">
        <v>1264</v>
      </c>
      <c r="J241">
        <f t="shared" si="10"/>
        <v>999.99600000000009</v>
      </c>
      <c r="K241" t="str">
        <f t="shared" si="11"/>
        <v xml:space="preserve">Walter Muller</v>
      </c>
    </row>
    <row r="242">
      <c r="A242">
        <v>10700</v>
      </c>
      <c r="B242" s="24">
        <v>44922</v>
      </c>
      <c r="C242" t="s">
        <v>1265</v>
      </c>
      <c r="D242" s="28">
        <v>12.99</v>
      </c>
      <c r="E242" s="26">
        <v>692.84000000000003</v>
      </c>
      <c r="F242" t="s">
        <v>1266</v>
      </c>
      <c r="G242" t="s">
        <v>1267</v>
      </c>
      <c r="H242" t="s">
        <v>1268</v>
      </c>
      <c r="I242" t="s">
        <v>1269</v>
      </c>
      <c r="J242">
        <f t="shared" si="10"/>
        <v>8999.9916000000012</v>
      </c>
      <c r="K242" t="str">
        <f t="shared" si="11"/>
        <v xml:space="preserve">Walter Muller</v>
      </c>
    </row>
    <row r="243">
      <c r="A243">
        <v>10701</v>
      </c>
      <c r="B243" s="24">
        <v>44922</v>
      </c>
      <c r="C243" t="s">
        <v>1270</v>
      </c>
      <c r="D243" s="25">
        <v>9.9499999999999993</v>
      </c>
      <c r="E243" s="26">
        <v>281.41000000000003</v>
      </c>
      <c r="F243" t="s">
        <v>1271</v>
      </c>
      <c r="G243" t="s">
        <v>1272</v>
      </c>
      <c r="H243" t="s">
        <v>1273</v>
      </c>
      <c r="I243" t="s">
        <v>1274</v>
      </c>
      <c r="J243">
        <f t="shared" si="10"/>
        <v>2800.0295000000001</v>
      </c>
      <c r="K243" t="str">
        <f t="shared" si="11"/>
        <v xml:space="preserve">Walter Muller</v>
      </c>
    </row>
    <row r="244">
      <c r="A244">
        <v>10702</v>
      </c>
      <c r="B244" s="24">
        <v>44922</v>
      </c>
      <c r="C244" t="s">
        <v>1275</v>
      </c>
      <c r="D244" s="25">
        <v>3.4900000000000002</v>
      </c>
      <c r="E244" s="26">
        <v>630.37</v>
      </c>
      <c r="F244" t="s">
        <v>1276</v>
      </c>
      <c r="G244" t="s">
        <v>23</v>
      </c>
      <c r="H244" t="s">
        <v>1277</v>
      </c>
      <c r="I244" t="s">
        <v>1278</v>
      </c>
      <c r="J244">
        <f t="shared" si="10"/>
        <v>2199.9913000000001</v>
      </c>
      <c r="K244" t="str">
        <f t="shared" si="11"/>
        <v xml:space="preserve">Walter Muller</v>
      </c>
    </row>
    <row r="245">
      <c r="A245">
        <v>10703</v>
      </c>
      <c r="B245" s="24">
        <v>44922</v>
      </c>
      <c r="C245" t="s">
        <v>1279</v>
      </c>
      <c r="D245" s="25">
        <v>2.9500000000000002</v>
      </c>
      <c r="E245" s="26">
        <v>677.97000000000003</v>
      </c>
      <c r="F245" t="s">
        <v>15</v>
      </c>
      <c r="G245" t="s">
        <v>1280</v>
      </c>
      <c r="H245" t="s">
        <v>1281</v>
      </c>
      <c r="I245" t="s">
        <v>1282</v>
      </c>
      <c r="J245">
        <f t="shared" si="10"/>
        <v>2000.0115000000003</v>
      </c>
      <c r="K245" t="str">
        <f t="shared" si="11"/>
        <v xml:space="preserve">Walter Muller</v>
      </c>
    </row>
    <row r="246">
      <c r="A246">
        <v>10704</v>
      </c>
      <c r="B246" s="24">
        <v>44922</v>
      </c>
      <c r="C246" t="s">
        <v>1283</v>
      </c>
      <c r="D246" s="25">
        <v>4.9900000000000002</v>
      </c>
      <c r="E246" s="27">
        <v>200.40000000000001</v>
      </c>
      <c r="F246" t="s">
        <v>1284</v>
      </c>
      <c r="G246" t="s">
        <v>1285</v>
      </c>
      <c r="H246" t="s">
        <v>1286</v>
      </c>
      <c r="I246" t="s">
        <v>1287</v>
      </c>
      <c r="J246">
        <f t="shared" si="10"/>
        <v>999.99600000000009</v>
      </c>
      <c r="K246" t="str">
        <f t="shared" si="11"/>
        <v xml:space="preserve">Walter Muller</v>
      </c>
    </row>
    <row r="247">
      <c r="A247">
        <v>10705</v>
      </c>
      <c r="B247" s="24">
        <v>44923</v>
      </c>
      <c r="C247" t="s">
        <v>1288</v>
      </c>
      <c r="D247" s="28">
        <v>12.99</v>
      </c>
      <c r="E247" s="26">
        <v>723.63</v>
      </c>
      <c r="F247" t="s">
        <v>1289</v>
      </c>
      <c r="G247" t="s">
        <v>1290</v>
      </c>
      <c r="H247" t="s">
        <v>1291</v>
      </c>
      <c r="I247" t="s">
        <v>1292</v>
      </c>
      <c r="J247">
        <f t="shared" si="10"/>
        <v>9399.9537</v>
      </c>
      <c r="K247" t="str">
        <f t="shared" si="11"/>
        <v xml:space="preserve">Walter Muller</v>
      </c>
    </row>
    <row r="248">
      <c r="A248">
        <v>10706</v>
      </c>
      <c r="B248" s="24">
        <v>44923</v>
      </c>
      <c r="C248" t="s">
        <v>1293</v>
      </c>
      <c r="D248" s="25">
        <v>9.9499999999999993</v>
      </c>
      <c r="E248" s="26">
        <v>301.50999999999999</v>
      </c>
      <c r="F248" t="s">
        <v>1294</v>
      </c>
      <c r="G248" t="s">
        <v>1295</v>
      </c>
      <c r="H248" t="s">
        <v>1296</v>
      </c>
      <c r="I248" t="s">
        <v>1297</v>
      </c>
      <c r="J248">
        <f t="shared" si="10"/>
        <v>3000.0244999999995</v>
      </c>
      <c r="K248" t="str">
        <f t="shared" si="11"/>
        <v xml:space="preserve">Walter Muller</v>
      </c>
    </row>
    <row r="249">
      <c r="A249">
        <v>10707</v>
      </c>
      <c r="B249" s="24">
        <v>44923</v>
      </c>
      <c r="C249" t="s">
        <v>1298</v>
      </c>
      <c r="D249" s="25">
        <v>3.4900000000000002</v>
      </c>
      <c r="E249" s="26">
        <v>630.37</v>
      </c>
      <c r="F249" t="s">
        <v>1299</v>
      </c>
      <c r="G249" t="s">
        <v>1300</v>
      </c>
      <c r="H249" t="s">
        <v>1301</v>
      </c>
      <c r="I249" t="s">
        <v>1302</v>
      </c>
      <c r="J249">
        <f t="shared" si="10"/>
        <v>2199.9913000000001</v>
      </c>
      <c r="K249" t="str">
        <f t="shared" si="11"/>
        <v xml:space="preserve">Walter Muller</v>
      </c>
    </row>
    <row r="250">
      <c r="A250">
        <v>10708</v>
      </c>
      <c r="B250" s="24">
        <v>44923</v>
      </c>
      <c r="C250" t="s">
        <v>1303</v>
      </c>
      <c r="D250" s="25">
        <v>2.9500000000000002</v>
      </c>
      <c r="E250" s="26">
        <v>677.97000000000003</v>
      </c>
      <c r="F250" t="s">
        <v>1304</v>
      </c>
      <c r="G250" t="s">
        <v>1305</v>
      </c>
      <c r="H250" t="s">
        <v>1306</v>
      </c>
      <c r="I250" t="s">
        <v>1307</v>
      </c>
      <c r="J250">
        <f t="shared" si="10"/>
        <v>2000.0115000000003</v>
      </c>
      <c r="K250" t="str">
        <f t="shared" si="11"/>
        <v xml:space="preserve">Walter Muller</v>
      </c>
    </row>
    <row r="251">
      <c r="A251">
        <v>10709</v>
      </c>
      <c r="B251" s="24">
        <v>44923</v>
      </c>
      <c r="C251" t="s">
        <v>34</v>
      </c>
      <c r="D251" s="25">
        <v>4.9900000000000002</v>
      </c>
      <c r="E251" s="27">
        <v>200.40000000000001</v>
      </c>
      <c r="F251" t="s">
        <v>1308</v>
      </c>
      <c r="G251" t="s">
        <v>1309</v>
      </c>
      <c r="H251" t="s">
        <v>1310</v>
      </c>
      <c r="I251" t="s">
        <v>1311</v>
      </c>
      <c r="J251">
        <f t="shared" si="10"/>
        <v>999.99600000000009</v>
      </c>
      <c r="K251" t="str">
        <f t="shared" si="11"/>
        <v xml:space="preserve">Walter Muller</v>
      </c>
    </row>
    <row r="252">
      <c r="A252">
        <v>10710</v>
      </c>
      <c r="B252" s="24">
        <v>44924</v>
      </c>
      <c r="C252" t="s">
        <v>31</v>
      </c>
      <c r="D252" s="28">
        <v>12.99</v>
      </c>
      <c r="E252" s="26">
        <v>754.42999999999995</v>
      </c>
      <c r="F252" t="s">
        <v>1312</v>
      </c>
      <c r="G252" t="s">
        <v>1313</v>
      </c>
      <c r="H252" t="s">
        <v>1314</v>
      </c>
      <c r="I252" t="s">
        <v>1315</v>
      </c>
      <c r="J252">
        <f t="shared" si="10"/>
        <v>9800.0456999999988</v>
      </c>
      <c r="K252" t="str">
        <f t="shared" si="11"/>
        <v xml:space="preserve">Walter Muller</v>
      </c>
    </row>
    <row r="253">
      <c r="A253">
        <v>10711</v>
      </c>
      <c r="B253" s="24">
        <v>44924</v>
      </c>
      <c r="C253" t="s">
        <v>33</v>
      </c>
      <c r="D253" s="25">
        <v>9.9499999999999993</v>
      </c>
      <c r="E253" s="26">
        <v>281.41000000000003</v>
      </c>
      <c r="F253" t="s">
        <v>1316</v>
      </c>
      <c r="G253" t="s">
        <v>1317</v>
      </c>
      <c r="H253" t="s">
        <v>1318</v>
      </c>
      <c r="I253" t="s">
        <v>1319</v>
      </c>
      <c r="J253">
        <f t="shared" si="10"/>
        <v>2800.0295000000001</v>
      </c>
      <c r="K253" t="str">
        <f t="shared" si="11"/>
        <v xml:space="preserve">Walter Muller</v>
      </c>
    </row>
    <row r="254">
      <c r="A254">
        <v>10712</v>
      </c>
      <c r="B254" s="24">
        <v>44924</v>
      </c>
      <c r="C254" t="s">
        <v>32</v>
      </c>
      <c r="D254" s="25">
        <v>3.4900000000000002</v>
      </c>
      <c r="E254" s="26">
        <v>630.37</v>
      </c>
      <c r="F254" t="s">
        <v>1320</v>
      </c>
      <c r="G254" t="s">
        <v>1321</v>
      </c>
      <c r="H254" t="s">
        <v>1322</v>
      </c>
      <c r="I254" t="s">
        <v>1323</v>
      </c>
      <c r="J254">
        <f t="shared" si="10"/>
        <v>2199.9913000000001</v>
      </c>
      <c r="K254" t="str">
        <f t="shared" si="11"/>
        <v xml:space="preserve">Walter Muller</v>
      </c>
    </row>
    <row r="255">
      <c r="A255">
        <v>10713</v>
      </c>
      <c r="B255" s="24">
        <v>44924</v>
      </c>
      <c r="C255" t="s">
        <v>30</v>
      </c>
      <c r="D255" s="25">
        <v>2.9500000000000002</v>
      </c>
      <c r="E255" s="26">
        <v>677.97000000000003</v>
      </c>
      <c r="F255" t="s">
        <v>14</v>
      </c>
      <c r="G255" t="s">
        <v>24</v>
      </c>
      <c r="H255" t="s">
        <v>41</v>
      </c>
      <c r="I255" t="s">
        <v>40</v>
      </c>
      <c r="J255">
        <f t="shared" si="10"/>
        <v>2000.0115000000003</v>
      </c>
      <c r="K255" t="str">
        <f t="shared" si="11"/>
        <v xml:space="preserve">Walter Muller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2026-04-26T14:16:07Z</dcterms:modified>
</cp:coreProperties>
</file>